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positório\Avaliação Automatizada\"/>
    </mc:Choice>
  </mc:AlternateContent>
  <xr:revisionPtr revIDLastSave="0" documentId="8_{C8E56C1E-DAF0-43E1-848A-FEDAA21A74BE}" xr6:coauthVersionLast="47" xr6:coauthVersionMax="47" xr10:uidLastSave="{00000000-0000-0000-0000-000000000000}"/>
  <bookViews>
    <workbookView xWindow="-108" yWindow="-108" windowWidth="23256" windowHeight="12456" activeTab="1" xr2:uid="{CC622E64-6C1C-42C8-82C2-A2B38D02BB28}"/>
  </bookViews>
  <sheets>
    <sheet name="resumo_qwen3_0 25" sheetId="2" r:id="rId1"/>
    <sheet name="Dados" sheetId="1" r:id="rId2"/>
    <sheet name="Folha13" sheetId="14" r:id="rId3"/>
    <sheet name="Folha12" sheetId="13" r:id="rId4"/>
    <sheet name="Folha11" sheetId="12" r:id="rId5"/>
    <sheet name="Folha10" sheetId="11" r:id="rId6"/>
    <sheet name="Folha9" sheetId="10" r:id="rId7"/>
    <sheet name="Folha8" sheetId="9" r:id="rId8"/>
    <sheet name="Folha7" sheetId="8" r:id="rId9"/>
    <sheet name="Folha6" sheetId="7" r:id="rId10"/>
    <sheet name="Folha3" sheetId="4" r:id="rId11"/>
    <sheet name="Folha4" sheetId="5" r:id="rId12"/>
    <sheet name="Folha5" sheetId="6" r:id="rId13"/>
  </sheets>
  <definedNames>
    <definedName name="DadosExternos_1" localSheetId="0" hidden="1">'resumo_qwen3_0 25'!$A$1:$I$69</definedName>
  </definedNames>
  <calcPr calcId="191029"/>
  <pivotCaches>
    <pivotCache cacheId="8" r:id="rId14"/>
    <pivotCache cacheId="21" r:id="rId15"/>
    <pivotCache cacheId="25" r:id="rId16"/>
    <pivotCache cacheId="29" r:id="rId17"/>
    <pivotCache cacheId="33" r:id="rId18"/>
    <pivotCache cacheId="37" r:id="rId19"/>
    <pivotCache cacheId="41" r:id="rId20"/>
    <pivotCache cacheId="45" r:id="rId21"/>
    <pivotCache cacheId="49" r:id="rId22"/>
    <pivotCache cacheId="53" r:id="rId23"/>
    <pivotCache cacheId="57" r:id="rId24"/>
    <pivotCache cacheId="61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8" i="1" l="1"/>
  <c r="H49" i="1"/>
  <c r="H50" i="1"/>
  <c r="H47" i="1"/>
  <c r="G48" i="1"/>
  <c r="G49" i="1"/>
  <c r="G50" i="1"/>
  <c r="G47" i="1"/>
  <c r="H40" i="1"/>
  <c r="H41" i="1"/>
  <c r="H42" i="1"/>
  <c r="H39" i="1"/>
  <c r="G40" i="1"/>
  <c r="G41" i="1"/>
  <c r="G42" i="1"/>
  <c r="G39" i="1"/>
  <c r="H30" i="1"/>
  <c r="H31" i="1"/>
  <c r="H32" i="1"/>
  <c r="H29" i="1"/>
  <c r="G30" i="1"/>
  <c r="G31" i="1"/>
  <c r="G32" i="1"/>
  <c r="G29" i="1"/>
  <c r="H22" i="1"/>
  <c r="H23" i="1"/>
  <c r="H24" i="1"/>
  <c r="H21" i="1"/>
  <c r="G22" i="1"/>
  <c r="G23" i="1"/>
  <c r="G24" i="1"/>
  <c r="G21" i="1"/>
  <c r="H12" i="1"/>
  <c r="H13" i="1"/>
  <c r="H14" i="1"/>
  <c r="H11" i="1"/>
  <c r="G12" i="1"/>
  <c r="G13" i="1"/>
  <c r="G14" i="1"/>
  <c r="G11" i="1"/>
  <c r="H4" i="1"/>
  <c r="H5" i="1"/>
  <c r="H6" i="1"/>
  <c r="H3" i="1"/>
  <c r="G4" i="1"/>
  <c r="G5" i="1"/>
  <c r="G6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64EDE-AC80-4969-BEE9-878790B1BF9D}" keepAlive="1" name="Consulta - resumo_qwen3_0 25" description="Ligação à consulta 'resumo_qwen3_0 25' no livro." type="5" refreshedVersion="8" background="1" saveData="1">
    <dbPr connection="Provider=Microsoft.Mashup.OleDb.1;Data Source=$Workbook$;Location=&quot;resumo_qwen3_0 25&quot;;Extended Properties=&quot;&quot;" command="SELECT * FROM [resumo_qwen3_0 25]"/>
  </connection>
</connections>
</file>

<file path=xl/sharedStrings.xml><?xml version="1.0" encoding="utf-8"?>
<sst xmlns="http://schemas.openxmlformats.org/spreadsheetml/2006/main" count="3123" uniqueCount="328">
  <si>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</si>
  <si>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</si>
  <si>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</si>
  <si>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</si>
  <si>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</si>
  <si>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</si>
  <si>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</si>
  <si>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</si>
  <si>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</si>
  <si>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</si>
  <si>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</si>
  <si>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ER2</t>
  </si>
  <si>
    <t>ER3</t>
  </si>
  <si>
    <t>PA1</t>
  </si>
  <si>
    <t>PA2</t>
  </si>
  <si>
    <t>Tópico 2</t>
  </si>
  <si>
    <t>Tópico 3</t>
  </si>
  <si>
    <t>Tópico 4</t>
  </si>
  <si>
    <t>Rótulos de Linha</t>
  </si>
  <si>
    <t>Total Geral</t>
  </si>
  <si>
    <t>Média de pass_rate_percent_auto</t>
  </si>
  <si>
    <t>Tópico 1 ER1 P1: 0/5 execuções falharam (0,0%),</t>
  </si>
  <si>
    <t>Tópico 1 ER1 P2: 0/5 execuções falharam (0,0%),</t>
  </si>
  <si>
    <t>Tópico 1 ER1 P3: 0/5 execuções falharam (0,0%),</t>
  </si>
  <si>
    <t>Tópico 1 ER1 P4: 0/5 execuções falharam (0,0%),</t>
  </si>
  <si>
    <t>Tópico 1 ER2 P1: 1/5 execuções falharam (20,0%),</t>
  </si>
  <si>
    <t>Tópico 1 ER2 P2: 1/5 execuções falharam (20,0%),</t>
  </si>
  <si>
    <t>Tópico 1 ER2 P3: 0/5 execuções falharam (0,0%),</t>
  </si>
  <si>
    <t>Tópico 1 ER2 P4: 5/5 execuções falharam (100,0%),</t>
  </si>
  <si>
    <t>Tópico 1 ER3 P1: 1/5 execuções falharam (20,0%),</t>
  </si>
  <si>
    <t>Tópico 1 ER3 P2: 5/5 execuções falharam (100,0%),</t>
  </si>
  <si>
    <t>Tópico 1 ER3 P3: 0/5 execuções falharam (0,0%),</t>
  </si>
  <si>
    <t>Tópico 1 ER3 P4: 1/5 execuções falharam (20,0%),</t>
  </si>
  <si>
    <t>Tópico 1 PA1 P1: 0/5 execuções falharam (0,0%),</t>
  </si>
  <si>
    <t>Tópico 1 PA1 P2: 0/5 execuções falharam (0,0%),</t>
  </si>
  <si>
    <t>Tópico 1 PA1 P3: 0/5 execuções falharam (0,0%),</t>
  </si>
  <si>
    <t>Tópico 1 PA1 P4: 4/5 execuções falharam (80,0%),</t>
  </si>
  <si>
    <t>Tópico 1 PA2 P1: 0/5 execuções falharam (0,0%),</t>
  </si>
  <si>
    <t>Tópico 1 PA2 P2: 0/5 execuções falharam (0,0%),</t>
  </si>
  <si>
    <t>Tópico 1 PA2 P3: 0/5 execuções falharam (0,0%),</t>
  </si>
  <si>
    <t>Tópico 1 PA2 P4: 0/5 execuções falharam (0,0%),</t>
  </si>
  <si>
    <t>Tópico 2 ER1 P1: 0/5 execuções falharam (0,0%),</t>
  </si>
  <si>
    <t>Tópico 2 ER1 P2: 0/5 execuções falharam (0,0%),</t>
  </si>
  <si>
    <t>Tópico 2 ER1 P3: 0/5 execuções falharam (0,0%),</t>
  </si>
  <si>
    <t>Tópico 2 ER1 P4: 5/5 execuções falharam (100,0%),</t>
  </si>
  <si>
    <t>Tópico 2 ER2 P1: 3/5 execuções falharam (60,0%),</t>
  </si>
  <si>
    <t>Tópico 2 ER2 P2: 5/5 execuções falharam (100,0%),</t>
  </si>
  <si>
    <t>Tópico 2 ER2 P3: 0/5 execuções falharam (0,0%),</t>
  </si>
  <si>
    <t>Tópico 2 ER2 P4: 3/5 execuções falharam (60,0%),</t>
  </si>
  <si>
    <t>Tópico 2 PA1 P1: 0/5 execuções falharam (0,0%),</t>
  </si>
  <si>
    <t>Tópico 2 PA1 P2: 1/5 execuções falharam (20,0%),</t>
  </si>
  <si>
    <t>Tópico 2 PA1 P3: 0/5 execuções falharam (0,0%),</t>
  </si>
  <si>
    <t>Tópico 2 PA1 P4: 5/5 execuções falharam (100,0%),</t>
  </si>
  <si>
    <t>Tópico 2 PA2 P1: 2/5 execuções falharam (40,0%),</t>
  </si>
  <si>
    <t>Tópico 2 PA2 P2: 1/5 execuções falharam (20,0%),</t>
  </si>
  <si>
    <t>Tópico 2 PA2 P3: 0/5 execuções falharam (0,0%),</t>
  </si>
  <si>
    <t>Tópico 2 PA2 P4: 5/5 execuções falharam (100,0%),</t>
  </si>
  <si>
    <t>Tópico 3 ER1 P1: 3/5 execuções falharam (60,0%),</t>
  </si>
  <si>
    <t>Tópico 3 ER1 P2: 5/5 execuções falharam (100,0%),</t>
  </si>
  <si>
    <t>Tópico 3 ER1 P3: 4/5 execuções falharam (80,0%),</t>
  </si>
  <si>
    <t>Tópico 3 ER1 P4: 2/5 execuções falharam (40,0%),</t>
  </si>
  <si>
    <t>Tópico 3 ER2 P1: 0/5 execuções falharam (0,0%),</t>
  </si>
  <si>
    <t>Tópico 3 ER2 P2: 0/5 execuções falharam (0,0%),</t>
  </si>
  <si>
    <t>Tópico 3 ER2 P3: 3/5 execuções falharam (60,0%),</t>
  </si>
  <si>
    <t>Tópico 3 ER2 P4: 0/5 execuções falharam (0,0%),</t>
  </si>
  <si>
    <t>Tópico 3 PA1 P1: 5/5 execuções falharam (100,0%),</t>
  </si>
  <si>
    <t>Tópico 3 PA1 P2: 1/5 execuções falharam (20,0%),</t>
  </si>
  <si>
    <t>Tópico 3 PA1 P3: 0/5 execuções falharam (0,0%),</t>
  </si>
  <si>
    <t>Tópico 3 PA1 P4: 0/5 execuções falharam (0,0%),</t>
  </si>
  <si>
    <t>Tópico 3 PA2 P1: 0/5 execuções falharam (0,0%),</t>
  </si>
  <si>
    <t>Tópico 3 PA2 P2: 2/5 execuções falharam (40,0%),</t>
  </si>
  <si>
    <t>Tópico 3 PA2 P3: 4/5 execuções falharam (80,0%),</t>
  </si>
  <si>
    <t>Tópico 3 PA2 P4: 4/5 execuções falharam (80,0%),</t>
  </si>
  <si>
    <t>Tópico 4 ER1 P1: 4/5 execuções falharam (80,0%),</t>
  </si>
  <si>
    <t>Tópico 4 ER1 P2: 0/5 execuções falharam (0,0%),</t>
  </si>
  <si>
    <t>Tópico 4 ER1 P3: 0/5 execuções falharam (0,0%),</t>
  </si>
  <si>
    <t>Tópico 4 ER1 P4: 5/5 execuções falharam (100,0%),</t>
  </si>
  <si>
    <t>Tópico 4 ER2 P1: 0/5 execuções falharam (0,0%),</t>
  </si>
  <si>
    <t>Tópico 4 ER2 P2: 0/5 execuções falharam (0,0%),</t>
  </si>
  <si>
    <t>Tópico 4 ER2 P3: 0/5 execuções falharam (0,0%),</t>
  </si>
  <si>
    <t>Tópico 4 ER2 P4: 0/5 execuções falharam (0,0%),</t>
  </si>
  <si>
    <t>Tópico 4 PA1 P1: 0/5 execuções falharam (0,0%),</t>
  </si>
  <si>
    <t>Tópico 4 PA1 P2: 0/5 execuções falharam (0,0%),</t>
  </si>
  <si>
    <t>Tópico 4 PA1 P3: 0/5 execuções falharam (0,0%),</t>
  </si>
  <si>
    <t>Tópico 4 PA1 P4: 0/5 execuções falharam (0,0%),</t>
  </si>
  <si>
    <t>Tópico 4 PA2 P1: 2/5 execuções falharam (40,0%),</t>
  </si>
  <si>
    <t>Tópico 4 PA2 P2: 1/5 execuções falharam (20,0%),</t>
  </si>
  <si>
    <t>Tópico 4 PA2 P3: 0/5 execuções falharam (0,0%),</t>
  </si>
  <si>
    <t>Tópico 4 PA2 P4: 0/5 execuções falharam (0,0%),</t>
  </si>
  <si>
    <t>criterio</t>
  </si>
  <si>
    <t>classe</t>
  </si>
  <si>
    <t>peso</t>
  </si>
  <si>
    <t>descricao</t>
  </si>
  <si>
    <t>pass_runs</t>
  </si>
  <si>
    <t>fail_runs</t>
  </si>
  <si>
    <t>pass_rate_percent</t>
  </si>
  <si>
    <t>fail_rate_percent</t>
  </si>
  <si>
    <t>score_criterio</t>
  </si>
  <si>
    <t>Tópico 5</t>
  </si>
  <si>
    <t>Cifra_Hibrida</t>
  </si>
  <si>
    <t>ER</t>
  </si>
  <si>
    <t>PA</t>
  </si>
  <si>
    <t>Cifra_Simetrica</t>
  </si>
  <si>
    <t>Decifra_Hibrida</t>
  </si>
  <si>
    <t>Geração insegura de chaves criptográficas ou chave com tamanho incorreto,</t>
  </si>
  <si>
    <t>Tópico 5 Cifra_Hibrida P1 ER1: 3/5 execuções passaram (60,0%),</t>
  </si>
  <si>
    <t>Utilização incorreta de algoritmos, modos de operação ou bibliotecas criptográficas,</t>
  </si>
  <si>
    <t>Tópico 5 Cifra_Hibrida P1 ER2: 0/5 execuções passaram (0,0%),</t>
  </si>
  <si>
    <t>Ausência ou implementação incorreta de criptografia híbrida quando aplicável,</t>
  </si>
  <si>
    <t>Tópico 5 Cifra_Hibrida P1 ER3: 0/5 execuções passaram (0,0%),</t>
  </si>
  <si>
    <t>Armazenamento ou exposição insegura de chaves criptográficas,</t>
  </si>
  <si>
    <t>Tópico 5 Cifra_Hibrida P1 PA1: 5/5 execuções passaram (100,0%),</t>
  </si>
  <si>
    <t>Gestão inadequada dos ficheiros produzidos durante a cifra ou decifra,</t>
  </si>
  <si>
    <t>Tópico 5 Cifra_Hibrida P1 PA2: 2/5 execuções passaram (40,0%),</t>
  </si>
  <si>
    <t>Tópico 5 Cifra_Hibrida P2 ER1: 4/5 execuções passaram (80,0%),</t>
  </si>
  <si>
    <t>Tópico 5 Cifra_Hibrida P2 ER2: 1/5 execuções passaram (20,0%),</t>
  </si>
  <si>
    <t>Tópico 5 Cifra_Hibrida P2 ER3: 0/5 execuções passaram (0,0%),</t>
  </si>
  <si>
    <t>Tópico 5 Cifra_Hibrida P2 PA1: 5/5 execuções passaram (100,0%),</t>
  </si>
  <si>
    <t>Tópico 5 Cifra_Hibrida P2 PA2: 3/5 execuções passaram (60,0%),</t>
  </si>
  <si>
    <t>Tópico 5 Cifra_Hibrida P3 ER1: 0/5 execuções passaram (0,0%),</t>
  </si>
  <si>
    <t>Tópico 5 Cifra_Hibrida P3 ER2: 5/5 execuções passaram (100,0%),</t>
  </si>
  <si>
    <t>Tópico 5 Cifra_Hibrida P3 ER3: 5/5 execuções passaram (100,0%),</t>
  </si>
  <si>
    <t>Tópico 5 Cifra_Hibrida P3 PA1: 0/5 execuções passaram (0,0%),</t>
  </si>
  <si>
    <t>Tópico 5 Cifra_Hibrida P3 PA2: 5/5 execuções passaram (100,0%),</t>
  </si>
  <si>
    <t>Tópico 5 Cifra_Hibrida P4 ER1: 3/5 execuções passaram (60,0%),</t>
  </si>
  <si>
    <t>Tópico 5 Cifra_Hibrida P4 ER2: 0/5 execuções passaram (0,0%),</t>
  </si>
  <si>
    <t>Tópico 5 Cifra_Hibrida P4 ER3: 0/5 execuções passaram (0,0%),</t>
  </si>
  <si>
    <t>Tópico 5 Cifra_Hibrida P4 PA1: 4/5 execuções passaram (80,0%),</t>
  </si>
  <si>
    <t>Tópico 5 Cifra_Hibrida P4 PA2: 1/5 execuções passaram (20,0%),</t>
  </si>
  <si>
    <t>Tópico 5 Cifra_Simetrica P1 ER1: 0/5 execuções passaram (0,0%),</t>
  </si>
  <si>
    <t>Tópico 5 Cifra_Simetrica P1 ER2: 1/5 execuções passaram (20,0%),</t>
  </si>
  <si>
    <t>Tópico 5 Cifra_Simetrica P1 PA1: 1/5 execuções passaram (20,0%),</t>
  </si>
  <si>
    <t>Tópico 5 Cifra_Simetrica P1 PA2: 5/5 execuções passaram (100,0%),</t>
  </si>
  <si>
    <t>Tópico 5 Cifra_Simetrica P2 ER1: 1/5 execuções passaram (20,0%),</t>
  </si>
  <si>
    <t>Tópico 5 Cifra_Simetrica P2 ER2: 1/5 execuções passaram (20,0%),</t>
  </si>
  <si>
    <t>Tópico 5 Cifra_Simetrica P2 PA1: 2/5 execuções passaram (40,0%),</t>
  </si>
  <si>
    <t>Tópico 5 Cifra_Simetrica P2 PA2: 5/5 execuções passaram (100,0%),</t>
  </si>
  <si>
    <t>Tópico 5 Cifra_Simetrica P3 ER1: 3/5 execuções passaram (60,0%),</t>
  </si>
  <si>
    <t>Tópico 5 Cifra_Simetrica P3 ER2: 2/5 execuções passaram (40,0%),</t>
  </si>
  <si>
    <t>Tópico 5 Cifra_Simetrica P3 PA1: 0/5 execuções passaram (0,0%),</t>
  </si>
  <si>
    <t>Tópico 5 Cifra_Simetrica P3 PA2: 5/5 execuções passaram (100,0%),</t>
  </si>
  <si>
    <t>Tópico 5 Cifra_Simetrica P4 ER1: 4/5 execuções passaram (80,0%),</t>
  </si>
  <si>
    <t>Tópico 5 Cifra_Simetrica P4 ER2: 0/5 execuções passaram (0,0%),</t>
  </si>
  <si>
    <t>Tópico 5 Cifra_Simetrica P4 PA1: 5/5 execuções passaram (100,0%),</t>
  </si>
  <si>
    <t>Tópico 5 Cifra_Simetrica P4 PA2: 2/5 execuções passaram (40,0%),</t>
  </si>
  <si>
    <t>Tópico 5 Decifra_Hibrida P1 ER2: 0/5 execuções passaram (0,0%),</t>
  </si>
  <si>
    <t>Tópico 5 Decifra_Hibrida P1 ER3: 0/5 execuções passaram (0,0%),</t>
  </si>
  <si>
    <t>Tópico 5 Decifra_Hibrida P1 PA1: 5/5 execuções passaram (100,0%),</t>
  </si>
  <si>
    <t>Tópico 5 Decifra_Hibrida P1 PA2: 0/5 execuções passaram (0,0%),</t>
  </si>
  <si>
    <t>Tópico 5 Decifra_Hibrida P2 ER2: 0/5 execuções passaram (0,0%),</t>
  </si>
  <si>
    <t>Tópico 5 Decifra_Hibrida P2 ER3: 0/5 execuções passaram (0,0%),</t>
  </si>
  <si>
    <t>Tópico 5 Decifra_Hibrida P2 PA1: 5/5 execuções passaram (100,0%),</t>
  </si>
  <si>
    <t>Tópico 5 Decifra_Hibrida P2 PA2: 5/5 execuções passaram (100,0%),</t>
  </si>
  <si>
    <t>Tópico 5 Decifra_Hibrida P3 ER2: 4/5 execuções passaram (80,0%),</t>
  </si>
  <si>
    <t>Tópico 5 Decifra_Hibrida P3 ER3: 4/5 execuções passaram (80,0%),</t>
  </si>
  <si>
    <t>Tópico 5 Decifra_Hibrida P3 PA1: 2/5 execuções passaram (40,0%),</t>
  </si>
  <si>
    <t>Tópico 5 Decifra_Hibrida P3 PA2: 5/5 execuções passaram (100,0%),</t>
  </si>
  <si>
    <t>Tópico 5 Decifra_Hibrida P4 ER2: 1/5 execuções passaram (20,0%),</t>
  </si>
  <si>
    <t>Tópico 5 Decifra_Hibrida P4 ER3: 1/5 execuções passaram (20,0%),</t>
  </si>
  <si>
    <t>Tópico 5 Decifra_Hibrida P4 PA1: 5/5 execuções passaram (100,0%),</t>
  </si>
  <si>
    <t>Tópico 5 Decifra_Hibrida P4 PA2: 2/5 execuções passaram (40,0%),</t>
  </si>
  <si>
    <t>Média de pass_rate_percent</t>
  </si>
  <si>
    <t>Dados</t>
  </si>
  <si>
    <t>Tópico 1 ER2 P1: 4/5 execuções falharam (80,0%),</t>
  </si>
  <si>
    <t>Tópico 1 ER2 P2: 0/5 execuções falharam (0,0%),</t>
  </si>
  <si>
    <t>Tópico 1 ER2 P4: 3/5 execuções falharam (60,0%),</t>
  </si>
  <si>
    <t>Tópico 1 ER3 P1: 0/5 execuções falharam (0,0%),</t>
  </si>
  <si>
    <t>Tópico 1 ER3 P3: 1/5 execuções falharam (20,0%),</t>
  </si>
  <si>
    <t>Tópico 1 PA1 P4: 5/5 execuções falharam (100,0%),</t>
  </si>
  <si>
    <t>Tópico 2 ER1 P1: 2/5 execuções falharam (40,0%),</t>
  </si>
  <si>
    <t>Tópico 2 ER2 P2: 1/5 execuções falharam (20,0%),</t>
  </si>
  <si>
    <t>Tópico 2 ER2 P4: 4/5 execuções falharam (80,0%),</t>
  </si>
  <si>
    <t>Tópico 2 PA1 P2: 0/5 execuções falharam (0,0%),</t>
  </si>
  <si>
    <t>Tópico 2 PA2 P1: 3/5 execuções falharam (60,0%),</t>
  </si>
  <si>
    <t>Tópico 3 ER1 P2: 4/5 execuções falharam (80,0%),</t>
  </si>
  <si>
    <t>Tópico 3 ER1 P4: 3/5 execuções falharam (60,0%),</t>
  </si>
  <si>
    <t>Tópico 3 ER2 P2: 1/5 execuções falharam (20,0%),</t>
  </si>
  <si>
    <t>Tópico 3 ER2 P3: 5/5 execuções falharam (100,0%),</t>
  </si>
  <si>
    <t>Tópico 3 PA1 P1: 4/5 execuções falharam (80,0%),</t>
  </si>
  <si>
    <t>Tópico 3 PA1 P2: 0/5 execuções falharam (0,0%),</t>
  </si>
  <si>
    <t>Tópico 3 PA2 P2: 0/5 execuções falharam (0,0%),</t>
  </si>
  <si>
    <t>Tópico 4 PA1 P4: 1/5 execuções falharam (20,0%),</t>
  </si>
  <si>
    <t>Tópico 4 PA2 P2: 4/5 execuções falharam (80,0%),</t>
  </si>
  <si>
    <t>Qwen3 0.75</t>
  </si>
  <si>
    <t>Qwen3 0.25</t>
  </si>
  <si>
    <t>Tópico 1 ER1 P1: 1/5 execuções falharam (20,0%),</t>
  </si>
  <si>
    <t>Tópico 1 ER2 P1: 5/5 execuções falharam (100,0%),</t>
  </si>
  <si>
    <t>Tópico 1 ER2 P2: 5/5 execuções falharam (100,0%),</t>
  </si>
  <si>
    <t>Tópico 1 ER2 P4: 1/5 execuções falharam (20,0%),</t>
  </si>
  <si>
    <t>Tópico 1 ER3 P1: 5/5 execuções falharam (100,0%),</t>
  </si>
  <si>
    <t>Tópico 1 ER3 P2: 2/5 execuções falharam (40,0%),</t>
  </si>
  <si>
    <t>Tópico 1 ER3 P4: 4/5 execuções falharam (80,0%),</t>
  </si>
  <si>
    <t>Tópico 1 PA1 P4: 2/5 execuções falharam (40,0%),</t>
  </si>
  <si>
    <t>Tópico 2 ER1 P1: 5/5 execuções falharam (100,0%),</t>
  </si>
  <si>
    <t>Tópico 2 ER1 P2: 5/5 execuções falharam (100,0%),</t>
  </si>
  <si>
    <t>Tópico 2 ER1 P4: 4/5 execuções falharam (80,0%),</t>
  </si>
  <si>
    <t>Tópico 2 ER2 P1: 5/5 execuções falharam (100,0%),</t>
  </si>
  <si>
    <t>Tópico 2 ER2 P4: 5/5 execuções falharam (100,0%),</t>
  </si>
  <si>
    <t>Tópico 2 PA1 P2: 3/5 execuções falharam (60,0%),</t>
  </si>
  <si>
    <t>Tópico 2 PA1 P4: 0/5 execuções falharam (0,0%),</t>
  </si>
  <si>
    <t>Tópico 2 PA2 P1: 5/5 execuções falharam (100,0%),</t>
  </si>
  <si>
    <t>Tópico 2 PA2 P2: 0/5 execuções falharam (0,0%),</t>
  </si>
  <si>
    <t>Tópico 2 PA2 P4: 1/5 execuções falharam (20,0%),</t>
  </si>
  <si>
    <t>Tópico 3 ER1 P1: 5/5 execuções falharam (100,0%),</t>
  </si>
  <si>
    <t>Tópico 3 ER1 P3: 3/5 execuções falharam (60,0%),</t>
  </si>
  <si>
    <t>Tópico 3 ER1 P4: 0/5 execuções falharam (0,0%),</t>
  </si>
  <si>
    <t>Tópico 3 ER2 P3: 1/5 execuções falharam (20,0%),</t>
  </si>
  <si>
    <t>Tópico 3 PA1 P4: 3/5 execuções falharam (60,0%),</t>
  </si>
  <si>
    <t>Tópico 3 PA2 P3: 0/5 execuções falharam (0,0%),</t>
  </si>
  <si>
    <t>Tópico 3 PA2 P4: 1/5 execuções falharam (20,0%),</t>
  </si>
  <si>
    <t>Tópico 4 ER1 P4: 1/5 execuções falharam (20,0%),</t>
  </si>
  <si>
    <t>Tópico 4 ER2 P1: 2/5 execuções falharam (40,0%),</t>
  </si>
  <si>
    <t>Tópico 4 ER2 P2: 1/5 execuções falharam (20,0%),</t>
  </si>
  <si>
    <t>Tópico 4 ER2 P4: 1/5 execuções falharam (20,0%),</t>
  </si>
  <si>
    <t>Tópico 4 PA1 P1: 1/5 execuções falharam (20,0%),</t>
  </si>
  <si>
    <t>Tópico 4 PA1 P4: 4/5 execuções falharam (80,0%),</t>
  </si>
  <si>
    <t>Tópico 4 PA2 P4: 1/5 execuções falharam (20,0%),</t>
  </si>
  <si>
    <t>Mistral 0.25</t>
  </si>
  <si>
    <t>Tópico 1 ER1 P1: 2/5 execuções falharam (40,0%),</t>
  </si>
  <si>
    <t>Tópico 1 ER3 P2: 3/5 execuções falharam (60,0%),</t>
  </si>
  <si>
    <t>Tópico 2 ER1 P2: 2/5 execuções falharam (40,0%),</t>
  </si>
  <si>
    <t>Tópico 2 ER1 P4: 3/5 execuções falharam (60,0%),</t>
  </si>
  <si>
    <t>Tópico 2 PA1 P4: 1/5 execuções falharam (20,0%),</t>
  </si>
  <si>
    <t>Tópico 2 PA2 P1: 4/5 execuções falharam (80,0%),</t>
  </si>
  <si>
    <t>Tópico 2 PA2 P4: 2/5 execuções falharam (40,0%),</t>
  </si>
  <si>
    <t>Tópico 3 ER1 P2: 2/5 execuções falharam (40,0%),</t>
  </si>
  <si>
    <t>Tópico 3 ER2 P3: 2/5 execuções falharam (40,0%),</t>
  </si>
  <si>
    <t>Tópico 3 PA1 P3: 1/5 execuções falharam (20,0%),</t>
  </si>
  <si>
    <t>Tópico 3 PA1 P4: 1/5 execuções falharam (20,0%),</t>
  </si>
  <si>
    <t>Tópico 3 PA2 P2: 3/5 execuções falharam (60,0%),</t>
  </si>
  <si>
    <t>Tópico 3 PA2 P4: 0/5 execuções falharam (0,0%),</t>
  </si>
  <si>
    <t>Tópico 4 ER1 P2: 1/5 execuções falharam (20,0%),</t>
  </si>
  <si>
    <t>Tópico 4 PA1 P1: 3/5 execuções falharam (60,0%),</t>
  </si>
  <si>
    <t>Tópico 4 PA2 P1: 3/5 execuções falharam (60,0%),</t>
  </si>
  <si>
    <t>Tópico 4 PA2 P3: 1/5 execuções falharam (20,0%),</t>
  </si>
  <si>
    <t>Mistral 0.75</t>
  </si>
  <si>
    <t>Tópico 1 ER3 P2: 1/5 execuções falharam (20,0%),</t>
  </si>
  <si>
    <t>Tópico 1 PA1 P4: 1/5 execuções falharam (20,0%),</t>
  </si>
  <si>
    <t>Tópico 2 ER2 P1: 2/5 execuções falharam (40,0%),</t>
  </si>
  <si>
    <t>Tópico 2 ER2 P2: 4/5 execuções falharam (80,0%),</t>
  </si>
  <si>
    <t>Tópico 2 ER2 P4: 0/5 execuções falharam (0,0%),</t>
  </si>
  <si>
    <t>Tópico 2 PA2 P2: 2/5 execuções falharam (40,0%),</t>
  </si>
  <si>
    <t>Tópico 3 PA1 P1: 3/5 execuções falharam (60,0%),</t>
  </si>
  <si>
    <t>Tópico 3 PA1 P2: 4/5 execuções falharam (80,0%),</t>
  </si>
  <si>
    <t>Tópico 4 ER1 P1: 1/5 execuções falharam (20,0%),</t>
  </si>
  <si>
    <t>Tópico 4 ER1 P4: 2/5 execuções falharam (40,0%),</t>
  </si>
  <si>
    <t>Tópico 4 PA1 P2: 1/5 execuções falharam (20,0%),</t>
  </si>
  <si>
    <t>Tópico 4 PA2 P1: 5/5 execuções falharam (100,0%),</t>
  </si>
  <si>
    <t>Tópico 4 PA2 P2: 3/5 execuções falharam (60,0%),</t>
  </si>
  <si>
    <t>Tópico 5 Cifra_Hibrida P1 ER1: 0/5 execuções passaram (0,0%),</t>
  </si>
  <si>
    <t>Tópico 5 Cifra_Hibrida P1 ER2: 4/5 execuções passaram (80,0%),</t>
  </si>
  <si>
    <t>Tópico 5 Cifra_Hibrida P1 ER3: 3/5 execuções passaram (60,0%),</t>
  </si>
  <si>
    <t>Tópico 5 Cifra_Hibrida P2 ER1: 1/5 execuções passaram (20,0%),</t>
  </si>
  <si>
    <t>Tópico 5 Cifra_Hibrida P2 ER3: 2/5 execuções passaram (40,0%),</t>
  </si>
  <si>
    <t>Tópico 5 Cifra_Hibrida P2 PA2: 2/5 execuções passaram (40,0%),</t>
  </si>
  <si>
    <t>Tópico 5 Cifra_Hibrida P4 ER2: 2/5 execuções passaram (40,0%),</t>
  </si>
  <si>
    <t>Tópico 5 Cifra_Hibrida P4 ER3: 5/5 execuções passaram (100,0%),</t>
  </si>
  <si>
    <t>Tópico 5 Cifra_Hibrida P4 PA1: 2/5 execuções passaram (40,0%),</t>
  </si>
  <si>
    <t>Tópico 5 Cifra_Hibrida P4 PA2: 5/5 execuções passaram (100,0%),</t>
  </si>
  <si>
    <t>Tópico 5 Cifra_Simetrica P1 ER1: 3/5 execuções passaram (60,0%),</t>
  </si>
  <si>
    <t>Tópico 5 Cifra_Simetrica P1 ER2: 4/5 execuções passaram (80,0%),</t>
  </si>
  <si>
    <t>Tópico 5 Cifra_Simetrica P1 PA1: 0/5 execuções passaram (0,0%),</t>
  </si>
  <si>
    <t>Tópico 5 Cifra_Simetrica P1 PA2: 4/5 execuções passaram (80,0%),</t>
  </si>
  <si>
    <t>Tópico 5 Cifra_Simetrica P2 ER1: 2/5 execuções passaram (40,0%),</t>
  </si>
  <si>
    <t>Tópico 5 Cifra_Simetrica P2 ER2: 5/5 execuções passaram (100,0%),</t>
  </si>
  <si>
    <t>Tópico 5 Cifra_Simetrica P2 PA1: 1/5 execuções passaram (20,0%),</t>
  </si>
  <si>
    <t>Tópico 5 Cifra_Simetrica P3 ER1: 4/5 execuções passaram (80,0%),</t>
  </si>
  <si>
    <t>Tópico 5 Cifra_Simetrica P3 ER2: 5/5 execuções passaram (100,0%),</t>
  </si>
  <si>
    <t>Tópico 5 Cifra_Simetrica P3 PA1: 5/5 execuções passaram (100,0%),</t>
  </si>
  <si>
    <t>Tópico 5 Cifra_Simetrica P4 ER1: 3/5 execuções passaram (60,0%),</t>
  </si>
  <si>
    <t>Tópico 5 Cifra_Simetrica P4 ER2: 2/5 execuções passaram (40,0%),</t>
  </si>
  <si>
    <t>Tópico 5 Cifra_Simetrica P4 PA1: 4/5 execuções passaram (80,0%),</t>
  </si>
  <si>
    <t>Tópico 5 Cifra_Simetrica P4 PA2: 4/5 execuções passaram (80,0%),</t>
  </si>
  <si>
    <t>Tópico 5 Decifra_Hibrida P1 ER2: 2/5 execuções passaram (40,0%),</t>
  </si>
  <si>
    <t>Tópico 5 Decifra_Hibrida P1 ER3: 1/5 execuções passaram (20,0%),</t>
  </si>
  <si>
    <t>Tópico 5 Decifra_Hibrida P1 PA2: 2/5 execuções passaram (40,0%),</t>
  </si>
  <si>
    <t>Tópico 5 Decifra_Hibrida P2 ER2: 1/5 execuções passaram (20,0%),</t>
  </si>
  <si>
    <t>Tópico 5 Decifra_Hibrida P2 ER3: 1/5 execuções passaram (20,0%),</t>
  </si>
  <si>
    <t>Tópico 5 Decifra_Hibrida P2 PA1: 4/5 execuções passaram (80,0%),</t>
  </si>
  <si>
    <t>Tópico 5 Decifra_Hibrida P3 ER2: 5/5 execuções passaram (100,0%),</t>
  </si>
  <si>
    <t>Tópico 5 Decifra_Hibrida P3 ER3: 5/5 execuções passaram (100,0%),</t>
  </si>
  <si>
    <t>Tópico 5 Decifra_Hibrida P3 PA1: 0/5 execuções passaram (0,0%),</t>
  </si>
  <si>
    <t>Tópico 5 Decifra_Hibrida P4 ER3: 3/5 execuções passaram (60,0%),</t>
  </si>
  <si>
    <t>Tópico 5 Decifra_Hibrida P4 PA1: 3/5 execuções passaram (60,0%),</t>
  </si>
  <si>
    <t>Tópico 5 Decifra_Hibrida P4 PA2: 5/5 execuções passaram (100,0%),</t>
  </si>
  <si>
    <t>Llama 0.25</t>
  </si>
  <si>
    <t>Tópico 1 ER2 P4: 4/5 execuções falharam (80,0%),</t>
  </si>
  <si>
    <t>Tópico 1 ER3 P4: 5/5 execuções falharam (100,0%),</t>
  </si>
  <si>
    <t>Tópico 1 PA1 P2: 1/5 execuções falharam (20,0%),</t>
  </si>
  <si>
    <t>Tópico 1 PA2 P1: 3/5 execuções falharam (60,0%),</t>
  </si>
  <si>
    <t>Tópico 2 ER1 P2: 1/5 execuções falharam (20,0%),</t>
  </si>
  <si>
    <t>Tópico 2 ER2 P2: 3/5 execuções falharam (60,0%),</t>
  </si>
  <si>
    <t>Tópico 3 ER1 P2: 3/5 execuções falharam (60,0%),</t>
  </si>
  <si>
    <t>Tópico 3 ER1 P3: 0/5 execuções falharam (0,0%),</t>
  </si>
  <si>
    <t>Tópico 3 ER1 P4: 4/5 execuções falharam (80,0%),</t>
  </si>
  <si>
    <t>Tópico 3 ER2 P3: 0/5 execuções falharam (0,0%),</t>
  </si>
  <si>
    <t>Tópico 3 PA1 P2: 2/5 execuções falharam (40,0%),</t>
  </si>
  <si>
    <t>Tópico 3 PA1 P3: 2/5 execuções falharam (40,0%),</t>
  </si>
  <si>
    <t>Tópico 3 PA2 P1: 2/5 execuções falharam (40,0%),</t>
  </si>
  <si>
    <t>Tópico 4 ER1 P2: 2/5 execuções falharam (40,0%),</t>
  </si>
  <si>
    <t>Tópico 4 ER2 P2: 4/5 execuções falharam (80,0%),</t>
  </si>
  <si>
    <t>Tópico 4 PA1 P1: 2/5 execuções falharam (40,0%),</t>
  </si>
  <si>
    <t>Tópico 4 PA2 P2: 0/5 execuções falharam (0,0%),</t>
  </si>
  <si>
    <t>Tópico 5 Cifra_Hibrida P1 ER2: 1/5 execuções passaram (20,0%),</t>
  </si>
  <si>
    <t>Tópico 5 Cifra_Hibrida P1 PA1: 4/5 execuções passaram (80,0%),</t>
  </si>
  <si>
    <t>Tópico 5 Cifra_Hibrida P1 PA2: 4/5 execuções passaram (80,0%),</t>
  </si>
  <si>
    <t>Tópico 5 Cifra_Hibrida P2 ER1: 0/5 execuções passaram (0,0%),</t>
  </si>
  <si>
    <t>Tópico 5 Cifra_Hibrida P2 ER3: 4/5 execuções passaram (80,0%),</t>
  </si>
  <si>
    <t>Tópico 5 Cifra_Hibrida P2 PA2: 4/5 execuções passaram (80,0%),</t>
  </si>
  <si>
    <t>Tópico 5 Cifra_Hibrida P3 ER2: 4/5 execuções passaram (80,0%),</t>
  </si>
  <si>
    <t>Tópico 5 Cifra_Hibrida P3 ER3: 4/5 execuções passaram (80,0%),</t>
  </si>
  <si>
    <t>Tópico 5 Cifra_Hibrida P4 ER1: 1/5 execuções passaram (20,0%),</t>
  </si>
  <si>
    <t>Tópico 5 Cifra_Hibrida P4 ER3: 4/5 execuções passaram (80,0%),</t>
  </si>
  <si>
    <t>Tópico 5 Cifra_Hibrida P4 PA1: 3/5 execuções passaram (60,0%),</t>
  </si>
  <si>
    <t>Tópico 5 Cifra_Simetrica P1 ER1: 2/5 execuções passaram (40,0%),</t>
  </si>
  <si>
    <t>Tópico 5 Cifra_Simetrica P1 PA2: 3/5 execuções passaram (60,0%),</t>
  </si>
  <si>
    <t>Tópico 5 Cifra_Simetrica P2 ER2: 4/5 execuções passaram (80,0%),</t>
  </si>
  <si>
    <t>Tópico 5 Cifra_Simetrica P2 PA1: 4/5 execuções passaram (80,0%),</t>
  </si>
  <si>
    <t>Tópico 5 Cifra_Simetrica P3 PA1: 4/5 execuções passaram (80,0%),</t>
  </si>
  <si>
    <t>Tópico 5 Cifra_Simetrica P4 PA2: 5/5 execuções passaram (100,0%),</t>
  </si>
  <si>
    <t>Tópico 5 Decifra_Hibrida P1 ER2: 1/5 execuções passaram (20,0%),</t>
  </si>
  <si>
    <t>Tópico 5 Decifra_Hibrida P1 ER3: 3/5 execuções passaram (60,0%),</t>
  </si>
  <si>
    <t>Tópico 5 Decifra_Hibrida P1 PA2: 3/5 execuções passaram (60,0%),</t>
  </si>
  <si>
    <t>Tópico 5 Decifra_Hibrida P2 ER2: 3/5 execuções passaram (60,0%),</t>
  </si>
  <si>
    <t>Tópico 5 Decifra_Hibrida P2 ER3: 3/5 execuções passaram (60,0%),</t>
  </si>
  <si>
    <t>Tópico 5 Decifra_Hibrida P2 PA2: 4/5 execuções passaram (80,0%),</t>
  </si>
  <si>
    <t>Tópico 5 Decifra_Hibrida P4 ER2: 0/5 execuções passaram (0,0%),</t>
  </si>
  <si>
    <t>Llama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</si>
</sst>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3568090278" createdVersion="8" refreshedVersion="8" minRefreshableVersion="3" recordCount="68" xr:uid="{2AF37F5F-0E4A-41CF-99FE-0231ACAB9FEF}">
  <cacheSource type="worksheet">
    <worksheetSource name="resumo_qwen3_0_25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45894675925" createdVersion="8" refreshedVersion="8" minRefreshableVersion="3" recordCount="52" xr:uid="{34BB3118-9D97-4EA4-9621-CF84AA610DE6}">
  <cacheSource type="worksheet">
    <worksheetSource name="Tabela2"/>
  </cacheSource>
  <cacheFields count="14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48807407409" createdVersion="8" refreshedVersion="8" minRefreshableVersion="3" recordCount="68" xr:uid="{D702E789-420F-4421-BCC5-9AAEA99FF996}">
  <cacheSource type="worksheet">
    <worksheetSource name="Tabela5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49905902779" createdVersion="8" refreshedVersion="8" minRefreshableVersion="3" recordCount="52" xr:uid="{19F25C0E-8C65-449C-A1BC-BF1B22B169C7}">
  <cacheSource type="worksheet">
    <worksheetSource name="Tabela6"/>
  </cacheSource>
  <cacheFields count="13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52176620367" createdVersion="8" refreshedVersion="8" minRefreshableVersion="3" recordCount="68" xr:uid="{5E4BD181-BA0C-43A6-88AC-679ED691E672}">
  <cacheSource type="worksheet">
    <worksheetSource name="Tabela8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53125347222" createdVersion="8" refreshedVersion="8" minRefreshableVersion="3" recordCount="52" xr:uid="{E53F16C3-88C8-465F-B2AE-3FA2B6EA9C96}">
  <cacheSource type="worksheet">
    <worksheetSource name="Tabela9"/>
  </cacheSource>
  <cacheFields count="13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54607407408" createdVersion="8" refreshedVersion="8" minRefreshableVersion="3" recordCount="68" xr:uid="{9A9CCDD9-046A-41EA-A7E1-F47BB4AE24D3}">
  <cacheSource type="worksheet">
    <worksheetSource name="Tabela11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55437731484" createdVersion="8" refreshedVersion="8" minRefreshableVersion="3" recordCount="52" xr:uid="{BC860648-822D-4020-8385-2A004BDD6400}">
  <cacheSource type="worksheet">
    <worksheetSource name="Tabela12"/>
  </cacheSource>
  <cacheFields count="13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59494444446" createdVersion="8" refreshedVersion="8" minRefreshableVersion="3" recordCount="68" xr:uid="{8234B9B3-6B4F-40F2-8939-2E14671496F7}">
  <cacheSource type="worksheet">
    <worksheetSource name="Tabela14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60359027775" createdVersion="8" refreshedVersion="8" minRefreshableVersion="3" recordCount="52" xr:uid="{29AE6F57-5D27-4DDA-BDA8-0F06907CBA36}">
  <cacheSource type="worksheet">
    <worksheetSource name="Tabela15"/>
  </cacheSource>
  <cacheFields count="14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61753009257" createdVersion="8" refreshedVersion="8" minRefreshableVersion="3" recordCount="68" xr:uid="{8453B184-AAAE-4CE5-86B3-1E449876607D}">
  <cacheSource type="worksheet">
    <worksheetSource name="Tabela17"/>
  </cacheSource>
  <cacheFields count="9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runs" numFmtId="0">
      <sharedItems containsSemiMixedTypes="0" containsString="0" containsNumber="1" containsInteger="1" minValue="5" maxValue="5"/>
    </cacheField>
    <cacheField name="fail_runs_auto" numFmtId="0">
      <sharedItems containsSemiMixedTypes="0" containsString="0" containsNumber="1" containsInteger="1" minValue="0" maxValue="5"/>
    </cacheField>
    <cacheField name="pass_runs_auto" numFmtId="0">
      <sharedItems containsSemiMixedTypes="0" containsString="0" containsNumber="1" containsInteger="1" minValue="0" maxValue="5"/>
    </cacheField>
    <cacheField name="fail_rate_percent_auto" numFmtId="0">
      <sharedItems containsSemiMixedTypes="0" containsString="0" containsNumber="1" containsInteger="1" minValue="0" maxValue="100"/>
    </cacheField>
    <cacheField name="pass_rate_percent_aut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Inês" refreshedDate="46200.062720138892" createdVersion="8" refreshedVersion="8" minRefreshableVersion="3" recordCount="52" xr:uid="{65FFD0EA-A814-4CB8-9761-59BAEA6E8216}">
  <cacheSource type="worksheet">
    <worksheetSource name="Tabela18"/>
  </cacheSource>
  <cacheFields count="14">
    <cacheField name="topic" numFmtId="0">
      <sharedItems/>
    </cacheField>
    <cacheField name="scenario" numFmtId="0">
      <sharedItems/>
    </cacheField>
    <cacheField name="prompt_n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iterio" numFmtId="0">
      <sharedItems/>
    </cacheField>
    <cacheField name="classe" numFmtId="0">
      <sharedItems/>
    </cacheField>
    <cacheField name="peso" numFmtId="0">
      <sharedItems containsSemiMixedTypes="0" containsString="0" containsNumber="1" containsInteger="1" minValue="2" maxValue="3"/>
    </cacheField>
    <cacheField name="descricao" numFmtId="0">
      <sharedItems/>
    </cacheField>
    <cacheField name="total_runs" numFmtId="0">
      <sharedItems containsSemiMixedTypes="0" containsString="0" containsNumber="1" containsInteger="1" minValue="5" maxValue="5"/>
    </cacheField>
    <cacheField name="pass_runs" numFmtId="0">
      <sharedItems containsSemiMixedTypes="0" containsString="0" containsNumber="1" containsInteger="1" minValue="0" maxValue="5"/>
    </cacheField>
    <cacheField name="fail_runs" numFmtId="0">
      <sharedItems containsSemiMixedTypes="0" containsString="0" containsNumber="1" containsInteger="1" minValue="0" maxValue="5"/>
    </cacheField>
    <cacheField name="pass_rate_percent" numFmtId="0">
      <sharedItems containsSemiMixedTypes="0" containsString="0" containsNumber="1" containsInteger="1" minValue="0" maxValue="100"/>
    </cacheField>
    <cacheField name="fail_rate_percent" numFmtId="0">
      <sharedItems containsSemiMixedTypes="0" containsString="0" containsNumber="1" containsInteger="1" minValue="0" maxValue="100"/>
    </cacheField>
    <cacheField name="score_criterio" numFmtId="0">
      <sharedItems containsSemiMixedTypes="0" containsString="0" containsNumber="1" containsInteger="1" minValue="0" maxValue="100"/>
    </cacheField>
    <cacheField name="summary_sent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0"/>
    <n v="5"/>
    <n v="0"/>
    <n v="100"/>
    <s v="Tópico 1 ER1 P1: 0/5 execuções falharam (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1"/>
    <n v="4"/>
    <n v="20"/>
    <n v="80"/>
    <s v="Tópico 1 ER2 P1: 1/5 execuções falharam (20,0%),"/>
  </r>
  <r>
    <s v="Tópico 1"/>
    <s v="ER2"/>
    <x v="1"/>
    <n v="5"/>
    <n v="1"/>
    <n v="4"/>
    <n v="20"/>
    <n v="80"/>
    <s v="Tópico 1 ER2 P2: 1/5 execuções falharam (2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5"/>
    <n v="0"/>
    <n v="100"/>
    <n v="0"/>
    <s v="Tópico 1 ER2 P4: 5/5 execuções falharam (100,0%),"/>
  </r>
  <r>
    <s v="Tópico 1"/>
    <s v="ER3"/>
    <x v="0"/>
    <n v="5"/>
    <n v="1"/>
    <n v="4"/>
    <n v="20"/>
    <n v="80"/>
    <s v="Tópico 1 ER3 P1: 1/5 execuções falharam (20,0%),"/>
  </r>
  <r>
    <s v="Tópico 1"/>
    <s v="ER3"/>
    <x v="1"/>
    <n v="5"/>
    <n v="5"/>
    <n v="0"/>
    <n v="100"/>
    <n v="0"/>
    <s v="Tópico 1 ER3 P2: 5/5 execuções falharam (100,0%),"/>
  </r>
  <r>
    <s v="Tópico 1"/>
    <s v="ER3"/>
    <x v="2"/>
    <n v="5"/>
    <n v="0"/>
    <n v="5"/>
    <n v="0"/>
    <n v="100"/>
    <s v="Tópico 1 ER3 P3: 0/5 execuções falharam (0,0%),"/>
  </r>
  <r>
    <s v="Tópico 1"/>
    <s v="ER3"/>
    <x v="3"/>
    <n v="5"/>
    <n v="1"/>
    <n v="4"/>
    <n v="20"/>
    <n v="80"/>
    <s v="Tópico 1 ER3 P4: 1/5 execuções falharam (2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0"/>
    <n v="5"/>
    <n v="0"/>
    <n v="100"/>
    <s v="Tópico 1 PA1 P2: 0/5 execuções falharam (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4"/>
    <n v="1"/>
    <n v="80"/>
    <n v="20"/>
    <s v="Tópico 1 PA1 P4: 4/5 execuções falharam (80,0%),"/>
  </r>
  <r>
    <s v="Tópico 1"/>
    <s v="PA2"/>
    <x v="0"/>
    <n v="5"/>
    <n v="0"/>
    <n v="5"/>
    <n v="0"/>
    <n v="100"/>
    <s v="Tópico 1 PA2 P1: 0/5 execuções falharam (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0"/>
    <n v="5"/>
    <n v="0"/>
    <n v="100"/>
    <s v="Tópico 2 ER1 P1: 0/5 execuções falharam (0,0%),"/>
  </r>
  <r>
    <s v="Tópico 2"/>
    <s v="ER1"/>
    <x v="1"/>
    <n v="5"/>
    <n v="0"/>
    <n v="5"/>
    <n v="0"/>
    <n v="100"/>
    <s v="Tópico 2 ER1 P2: 0/5 execuções falharam (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5"/>
    <n v="0"/>
    <n v="100"/>
    <n v="0"/>
    <s v="Tópico 2 ER1 P4: 5/5 execuções falharam (100,0%),"/>
  </r>
  <r>
    <s v="Tópico 2"/>
    <s v="ER2"/>
    <x v="0"/>
    <n v="5"/>
    <n v="3"/>
    <n v="2"/>
    <n v="60"/>
    <n v="40"/>
    <s v="Tópico 2 ER2 P1: 3/5 execuções falharam (60,0%),"/>
  </r>
  <r>
    <s v="Tópico 2"/>
    <s v="ER2"/>
    <x v="1"/>
    <n v="5"/>
    <n v="5"/>
    <n v="0"/>
    <n v="100"/>
    <n v="0"/>
    <s v="Tópico 2 ER2 P2: 5/5 execuções falharam (10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3"/>
    <n v="2"/>
    <n v="60"/>
    <n v="40"/>
    <s v="Tópico 2 ER2 P4: 3/5 execuções falharam (6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1"/>
    <n v="4"/>
    <n v="20"/>
    <n v="80"/>
    <s v="Tópico 2 PA1 P2: 1/5 execuções falharam (2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5"/>
    <n v="0"/>
    <n v="100"/>
    <n v="0"/>
    <s v="Tópico 2 PA1 P4: 5/5 execuções falharam (100,0%),"/>
  </r>
  <r>
    <s v="Tópico 2"/>
    <s v="PA2"/>
    <x v="0"/>
    <n v="5"/>
    <n v="2"/>
    <n v="3"/>
    <n v="40"/>
    <n v="60"/>
    <s v="Tópico 2 PA2 P1: 2/5 execuções falharam (40,0%),"/>
  </r>
  <r>
    <s v="Tópico 2"/>
    <s v="PA2"/>
    <x v="1"/>
    <n v="5"/>
    <n v="1"/>
    <n v="4"/>
    <n v="20"/>
    <n v="80"/>
    <s v="Tópico 2 PA2 P2: 1/5 execuções falharam (2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5"/>
    <n v="0"/>
    <n v="100"/>
    <n v="0"/>
    <s v="Tópico 2 PA2 P4: 5/5 execuções falharam (100,0%),"/>
  </r>
  <r>
    <s v="Tópico 3"/>
    <s v="ER1"/>
    <x v="0"/>
    <n v="5"/>
    <n v="3"/>
    <n v="2"/>
    <n v="60"/>
    <n v="40"/>
    <s v="Tópico 3 ER1 P1: 3/5 execuções falharam (60,0%),"/>
  </r>
  <r>
    <s v="Tópico 3"/>
    <s v="ER1"/>
    <x v="1"/>
    <n v="5"/>
    <n v="5"/>
    <n v="0"/>
    <n v="100"/>
    <n v="0"/>
    <s v="Tópico 3 ER1 P2: 5/5 execuções falharam (100,0%),"/>
  </r>
  <r>
    <s v="Tópico 3"/>
    <s v="ER1"/>
    <x v="2"/>
    <n v="5"/>
    <n v="4"/>
    <n v="1"/>
    <n v="80"/>
    <n v="20"/>
    <s v="Tópico 3 ER1 P3: 4/5 execuções falharam (80,0%),"/>
  </r>
  <r>
    <s v="Tópico 3"/>
    <s v="ER1"/>
    <x v="3"/>
    <n v="5"/>
    <n v="2"/>
    <n v="3"/>
    <n v="40"/>
    <n v="60"/>
    <s v="Tópico 3 ER1 P4: 2/5 execuções falharam (4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0"/>
    <n v="5"/>
    <n v="0"/>
    <n v="100"/>
    <s v="Tópico 3 ER2 P2: 0/5 execuções falharam (0,0%),"/>
  </r>
  <r>
    <s v="Tópico 3"/>
    <s v="ER2"/>
    <x v="2"/>
    <n v="5"/>
    <n v="3"/>
    <n v="2"/>
    <n v="60"/>
    <n v="40"/>
    <s v="Tópico 3 ER2 P3: 3/5 execuções falharam (6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5"/>
    <n v="0"/>
    <n v="100"/>
    <n v="0"/>
    <s v="Tópico 3 PA1 P1: 5/5 execuções falharam (100,0%),"/>
  </r>
  <r>
    <s v="Tópico 3"/>
    <s v="PA1"/>
    <x v="1"/>
    <n v="5"/>
    <n v="1"/>
    <n v="4"/>
    <n v="20"/>
    <n v="80"/>
    <s v="Tópico 3 PA1 P2: 1/5 execuções falharam (20,0%),"/>
  </r>
  <r>
    <s v="Tópico 3"/>
    <s v="PA1"/>
    <x v="2"/>
    <n v="5"/>
    <n v="0"/>
    <n v="5"/>
    <n v="0"/>
    <n v="100"/>
    <s v="Tópico 3 PA1 P3: 0/5 execuções falharam (0,0%),"/>
  </r>
  <r>
    <s v="Tópico 3"/>
    <s v="PA1"/>
    <x v="3"/>
    <n v="5"/>
    <n v="0"/>
    <n v="5"/>
    <n v="0"/>
    <n v="100"/>
    <s v="Tópico 3 PA1 P4: 0/5 execuções falharam (0,0%),"/>
  </r>
  <r>
    <s v="Tópico 3"/>
    <s v="PA2"/>
    <x v="0"/>
    <n v="5"/>
    <n v="0"/>
    <n v="5"/>
    <n v="0"/>
    <n v="100"/>
    <s v="Tópico 3 PA2 P1: 0/5 execuções falharam (0,0%),"/>
  </r>
  <r>
    <s v="Tópico 3"/>
    <s v="PA2"/>
    <x v="1"/>
    <n v="5"/>
    <n v="2"/>
    <n v="3"/>
    <n v="40"/>
    <n v="60"/>
    <s v="Tópico 3 PA2 P2: 2/5 execuções falharam (40,0%),"/>
  </r>
  <r>
    <s v="Tópico 3"/>
    <s v="PA2"/>
    <x v="2"/>
    <n v="5"/>
    <n v="4"/>
    <n v="1"/>
    <n v="80"/>
    <n v="20"/>
    <s v="Tópico 3 PA2 P3: 4/5 execuções falharam (80,0%),"/>
  </r>
  <r>
    <s v="Tópico 3"/>
    <s v="PA2"/>
    <x v="3"/>
    <n v="5"/>
    <n v="4"/>
    <n v="1"/>
    <n v="80"/>
    <n v="20"/>
    <s v="Tópico 3 PA2 P4: 4/5 execuções falharam (80,0%),"/>
  </r>
  <r>
    <s v="Tópico 4"/>
    <s v="ER1"/>
    <x v="0"/>
    <n v="5"/>
    <n v="4"/>
    <n v="1"/>
    <n v="80"/>
    <n v="20"/>
    <s v="Tópico 4 ER1 P1: 4/5 execuções falharam (80,0%),"/>
  </r>
  <r>
    <s v="Tópico 4"/>
    <s v="ER1"/>
    <x v="1"/>
    <n v="5"/>
    <n v="0"/>
    <n v="5"/>
    <n v="0"/>
    <n v="100"/>
    <s v="Tópico 4 ER1 P2: 0/5 execuções falharam (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5"/>
    <n v="0"/>
    <n v="100"/>
    <n v="0"/>
    <s v="Tópico 4 ER1 P4: 5/5 execuções falharam (100,0%),"/>
  </r>
  <r>
    <s v="Tópico 4"/>
    <s v="ER2"/>
    <x v="0"/>
    <n v="5"/>
    <n v="0"/>
    <n v="5"/>
    <n v="0"/>
    <n v="100"/>
    <s v="Tópico 4 ER2 P1: 0/5 execuções falharam (0,0%),"/>
  </r>
  <r>
    <s v="Tópico 4"/>
    <s v="ER2"/>
    <x v="1"/>
    <n v="5"/>
    <n v="0"/>
    <n v="5"/>
    <n v="0"/>
    <n v="100"/>
    <s v="Tópico 4 ER2 P2: 0/5 execuções falharam (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0"/>
    <n v="5"/>
    <n v="0"/>
    <n v="100"/>
    <s v="Tópico 4 ER2 P4: 0/5 execuções falharam (0,0%),"/>
  </r>
  <r>
    <s v="Tópico 4"/>
    <s v="PA1"/>
    <x v="0"/>
    <n v="5"/>
    <n v="0"/>
    <n v="5"/>
    <n v="0"/>
    <n v="100"/>
    <s v="Tópico 4 PA1 P1: 0/5 execuções falharam (0,0%),"/>
  </r>
  <r>
    <s v="Tópico 4"/>
    <s v="PA1"/>
    <x v="1"/>
    <n v="5"/>
    <n v="0"/>
    <n v="5"/>
    <n v="0"/>
    <n v="100"/>
    <s v="Tópico 4 PA1 P2: 0/5 execuções falharam (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0"/>
    <n v="5"/>
    <n v="0"/>
    <n v="100"/>
    <s v="Tópico 4 PA1 P4: 0/5 execuções falharam (0,0%),"/>
  </r>
  <r>
    <s v="Tópico 4"/>
    <s v="PA2"/>
    <x v="0"/>
    <n v="5"/>
    <n v="2"/>
    <n v="3"/>
    <n v="40"/>
    <n v="60"/>
    <s v="Tópico 4 PA2 P1: 2/5 execuções falharam (40,0%),"/>
  </r>
  <r>
    <s v="Tópico 4"/>
    <s v="PA2"/>
    <x v="1"/>
    <n v="5"/>
    <n v="1"/>
    <n v="4"/>
    <n v="20"/>
    <n v="80"/>
    <s v="Tópico 4 PA2 P2: 1/5 execuções falharam (20,0%),"/>
  </r>
  <r>
    <s v="Tópico 4"/>
    <s v="PA2"/>
    <x v="2"/>
    <n v="5"/>
    <n v="0"/>
    <n v="5"/>
    <n v="0"/>
    <n v="100"/>
    <s v="Tópico 4 PA2 P3: 0/5 execuções falharam (0,0%),"/>
  </r>
  <r>
    <s v="Tópico 4"/>
    <s v="PA2"/>
    <x v="3"/>
    <n v="5"/>
    <n v="0"/>
    <n v="5"/>
    <n v="0"/>
    <n v="100"/>
    <s v="Tópico 4 PA2 P4: 0/5 execuções falharam (0,0%),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3"/>
    <n v="2"/>
    <n v="60"/>
    <n v="40"/>
    <n v="60"/>
    <s v="Tópico 5 Cifra_Hibrida P1 ER1: 3/5 execuções passaram (60,0%),"/>
  </r>
  <r>
    <s v="Tópico 5"/>
    <s v="Cifra_Hibrida"/>
    <x v="0"/>
    <s v="ER2"/>
    <s v="ER"/>
    <n v="3"/>
    <s v="Utilização incorreta de algoritmos, modos de operação ou bibliotecas criptográficas,"/>
    <n v="5"/>
    <n v="0"/>
    <n v="5"/>
    <n v="0"/>
    <n v="100"/>
    <n v="0"/>
    <s v="Tópico 5 Cifra_Hibrida P1 ER2: 0/5 execuções passaram (0,0%),"/>
  </r>
  <r>
    <s v="Tópico 5"/>
    <s v="Cifra_Hibrida"/>
    <x v="0"/>
    <s v="ER3"/>
    <s v="ER"/>
    <n v="3"/>
    <s v="Ausência ou implementação incorreta de criptografia híbrida quando aplicável,"/>
    <n v="5"/>
    <n v="0"/>
    <n v="5"/>
    <n v="0"/>
    <n v="100"/>
    <n v="0"/>
    <s v="Tópico 5 Cifra_Hibrida P1 ER3: 0/5 execuções passaram (0,0%),"/>
  </r>
  <r>
    <s v="Tópico 5"/>
    <s v="Cifra_Hibrida"/>
    <x v="0"/>
    <s v="PA1"/>
    <s v="PA"/>
    <n v="3"/>
    <s v="Armazenamento ou exposição insegura de chaves criptográficas,"/>
    <n v="5"/>
    <n v="5"/>
    <n v="0"/>
    <n v="100"/>
    <n v="0"/>
    <n v="100"/>
    <s v="Tópico 5 Cifra_Hibrida P1 PA1: 5/5 execuções passaram (100,0%),"/>
  </r>
  <r>
    <s v="Tópico 5"/>
    <s v="Cifra_Hibrida"/>
    <x v="0"/>
    <s v="PA2"/>
    <s v="PA"/>
    <n v="2"/>
    <s v="Gestão inadequada dos ficheiros produzidos durante a cifra ou decifra,"/>
    <n v="5"/>
    <n v="2"/>
    <n v="3"/>
    <n v="40"/>
    <n v="60"/>
    <n v="40"/>
    <s v="Tópico 5 Cifra_Hibrida P1 PA2: 2/5 execuções passaram (40,0%),"/>
  </r>
  <r>
    <s v="Tópico 5"/>
    <s v="Cifra_Hibrida"/>
    <x v="1"/>
    <s v="ER1"/>
    <s v="ER"/>
    <n v="3"/>
    <s v="Geração insegura de chaves criptográficas ou chave com tamanho incorreto,"/>
    <n v="5"/>
    <n v="4"/>
    <n v="1"/>
    <n v="80"/>
    <n v="20"/>
    <n v="80"/>
    <s v="Tópico 5 Cifra_Hibrida P2 ER1: 4/5 execuções passaram (80,0%),"/>
  </r>
  <r>
    <s v="Tópico 5"/>
    <s v="Cifra_Hibrida"/>
    <x v="1"/>
    <s v="ER2"/>
    <s v="ER"/>
    <n v="3"/>
    <s v="Utilização incorreta de algoritmos, modos de operação ou bibliotecas criptográficas,"/>
    <n v="5"/>
    <n v="1"/>
    <n v="4"/>
    <n v="20"/>
    <n v="80"/>
    <n v="20"/>
    <s v="Tópico 5 Cifra_Hibrida P2 ER2: 1/5 execuções passaram (20,0%),"/>
  </r>
  <r>
    <s v="Tópico 5"/>
    <s v="Cifra_Hibrida"/>
    <x v="1"/>
    <s v="ER3"/>
    <s v="ER"/>
    <n v="3"/>
    <s v="Ausência ou implementação incorreta de criptografia híbrida quando aplicável,"/>
    <n v="5"/>
    <n v="0"/>
    <n v="5"/>
    <n v="0"/>
    <n v="100"/>
    <n v="0"/>
    <s v="Tópico 5 Cifra_Hibrida P2 ER3: 0/5 execuções passaram (0,0%),"/>
  </r>
  <r>
    <s v="Tópico 5"/>
    <s v="Cifra_Hibrida"/>
    <x v="1"/>
    <s v="PA1"/>
    <s v="PA"/>
    <n v="3"/>
    <s v="Armazenamento ou exposição insegura de chaves criptográficas,"/>
    <n v="5"/>
    <n v="5"/>
    <n v="0"/>
    <n v="100"/>
    <n v="0"/>
    <n v="100"/>
    <s v="Tópico 5 Cifra_Hibrida P2 PA1: 5/5 execuções passaram (100,0%),"/>
  </r>
  <r>
    <s v="Tópico 5"/>
    <s v="Cifra_Hibrida"/>
    <x v="1"/>
    <s v="PA2"/>
    <s v="PA"/>
    <n v="2"/>
    <s v="Gestão inadequada dos ficheiros produzidos durante a cifra ou decifra,"/>
    <n v="5"/>
    <n v="3"/>
    <n v="2"/>
    <n v="60"/>
    <n v="40"/>
    <n v="60"/>
    <s v="Tópico 5 Cifra_Hibrida P2 PA2: 3/5 execuções passaram (60,0%),"/>
  </r>
  <r>
    <s v="Tópico 5"/>
    <s v="Cifra_Hibrida"/>
    <x v="2"/>
    <s v="ER1"/>
    <s v="ER"/>
    <n v="3"/>
    <s v="Geração insegura de chaves criptográficas ou chave com tamanho incorreto,"/>
    <n v="5"/>
    <n v="0"/>
    <n v="5"/>
    <n v="0"/>
    <n v="100"/>
    <n v="0"/>
    <s v="Tópico 5 Cifra_Hibrida P3 ER1: 0/5 execuções passaram (0,0%),"/>
  </r>
  <r>
    <s v="Tópico 5"/>
    <s v="Cifra_Hibrid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Cifra_Hibrida P3 ER2: 5/5 execuções passaram (100,0%),"/>
  </r>
  <r>
    <s v="Tópico 5"/>
    <s v="Cifra_Hibrida"/>
    <x v="2"/>
    <s v="ER3"/>
    <s v="ER"/>
    <n v="3"/>
    <s v="Ausência ou implementação incorreta de criptografia híbrida quando aplicável,"/>
    <n v="5"/>
    <n v="5"/>
    <n v="0"/>
    <n v="100"/>
    <n v="0"/>
    <n v="100"/>
    <s v="Tópico 5 Cifra_Hibrida P3 ER3: 5/5 execuções passaram (100,0%),"/>
  </r>
  <r>
    <s v="Tópico 5"/>
    <s v="Cifra_Hibrida"/>
    <x v="2"/>
    <s v="PA1"/>
    <s v="PA"/>
    <n v="3"/>
    <s v="Armazenamento ou exposição insegura de chaves criptográficas,"/>
    <n v="5"/>
    <n v="0"/>
    <n v="5"/>
    <n v="0"/>
    <n v="100"/>
    <n v="0"/>
    <s v="Tópico 5 Cifra_Hibrida P3 PA1: 0/5 execuções passaram (0,0%),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  <s v="Tópico 5 Cifra_Hibrida P3 PA2: 5/5 execuções passaram (100,0%),"/>
  </r>
  <r>
    <s v="Tópico 5"/>
    <s v="Cifra_Hibrida"/>
    <x v="3"/>
    <s v="ER1"/>
    <s v="ER"/>
    <n v="3"/>
    <s v="Geração insegura de chaves criptográficas ou chave com tamanho incorreto,"/>
    <n v="5"/>
    <n v="3"/>
    <n v="2"/>
    <n v="60"/>
    <n v="40"/>
    <n v="60"/>
    <s v="Tópico 5 Cifra_Hibrida P4 ER1: 3/5 execuções passaram (60,0%),"/>
  </r>
  <r>
    <s v="Tópico 5"/>
    <s v="Cifra_Hibrida"/>
    <x v="3"/>
    <s v="ER2"/>
    <s v="ER"/>
    <n v="3"/>
    <s v="Utilização incorreta de algoritmos, modos de operação ou bibliotecas criptográficas,"/>
    <n v="5"/>
    <n v="0"/>
    <n v="5"/>
    <n v="0"/>
    <n v="100"/>
    <n v="0"/>
    <s v="Tópico 5 Cifra_Hibrida P4 ER2: 0/5 execuções passaram (0,0%),"/>
  </r>
  <r>
    <s v="Tópico 5"/>
    <s v="Cifra_Hibrida"/>
    <x v="3"/>
    <s v="ER3"/>
    <s v="ER"/>
    <n v="3"/>
    <s v="Ausência ou implementação incorreta de criptografia híbrida quando aplicável,"/>
    <n v="5"/>
    <n v="0"/>
    <n v="5"/>
    <n v="0"/>
    <n v="100"/>
    <n v="0"/>
    <s v="Tópico 5 Cifra_Hibrida P4 ER3: 0/5 execuções passaram (0,0%),"/>
  </r>
  <r>
    <s v="Tópico 5"/>
    <s v="Cifra_Hibrida"/>
    <x v="3"/>
    <s v="PA1"/>
    <s v="PA"/>
    <n v="3"/>
    <s v="Armazenamento ou exposição insegura de chaves criptográficas,"/>
    <n v="5"/>
    <n v="4"/>
    <n v="1"/>
    <n v="80"/>
    <n v="20"/>
    <n v="80"/>
    <s v="Tópico 5 Cifra_Hibrida P4 PA1: 4/5 execuções passaram (80,0%),"/>
  </r>
  <r>
    <s v="Tópico 5"/>
    <s v="Cifra_Hibrida"/>
    <x v="3"/>
    <s v="PA2"/>
    <s v="PA"/>
    <n v="2"/>
    <s v="Gestão inadequada dos ficheiros produzidos durante a cifra ou decifra,"/>
    <n v="5"/>
    <n v="1"/>
    <n v="4"/>
    <n v="20"/>
    <n v="80"/>
    <n v="20"/>
    <s v="Tópico 5 Cifra_Hibrida P4 PA2: 1/5 execuções passaram (20,0%),"/>
  </r>
  <r>
    <s v="Tópico 5"/>
    <s v="Cifra_Simetrica"/>
    <x v="0"/>
    <s v="ER1"/>
    <s v="ER"/>
    <n v="3"/>
    <s v="Geração insegura de chaves criptográficas ou chave com tamanho incorreto,"/>
    <n v="5"/>
    <n v="0"/>
    <n v="5"/>
    <n v="0"/>
    <n v="100"/>
    <n v="0"/>
    <s v="Tópico 5 Cifra_Simetrica P1 ER1: 0/5 execuções passaram (0,0%),"/>
  </r>
  <r>
    <s v="Tópico 5"/>
    <s v="Cifra_Simetrica"/>
    <x v="0"/>
    <s v="ER2"/>
    <s v="ER"/>
    <n v="3"/>
    <s v="Utilização incorreta de algoritmos, modos de operação ou bibliotecas criptográficas,"/>
    <n v="5"/>
    <n v="1"/>
    <n v="4"/>
    <n v="20"/>
    <n v="80"/>
    <n v="20"/>
    <s v="Tópico 5 Cifra_Simetrica P1 ER2: 1/5 execuções passaram (20,0%),"/>
  </r>
  <r>
    <s v="Tópico 5"/>
    <s v="Cifra_Simetrica"/>
    <x v="0"/>
    <s v="PA1"/>
    <s v="PA"/>
    <n v="3"/>
    <s v="Armazenamento ou exposição insegura de chaves criptográficas,"/>
    <n v="5"/>
    <n v="1"/>
    <n v="4"/>
    <n v="20"/>
    <n v="80"/>
    <n v="20"/>
    <s v="Tópico 5 Cifra_Simetrica P1 PA1: 1/5 execuções passaram (20,0%),"/>
  </r>
  <r>
    <s v="Tópico 5"/>
    <s v="Cifra_Simetrica"/>
    <x v="0"/>
    <s v="PA2"/>
    <s v="PA"/>
    <n v="2"/>
    <s v="Gestão inadequada dos ficheiros produzidos durante a cifra ou decifra,"/>
    <n v="5"/>
    <n v="5"/>
    <n v="0"/>
    <n v="100"/>
    <n v="0"/>
    <n v="100"/>
    <s v="Tópico 5 Cifra_Simetrica P1 PA2: 5/5 execuções passaram (100,0%),"/>
  </r>
  <r>
    <s v="Tópico 5"/>
    <s v="Cifra_Simetrica"/>
    <x v="1"/>
    <s v="ER1"/>
    <s v="ER"/>
    <n v="3"/>
    <s v="Geração insegura de chaves criptográficas ou chave com tamanho incorreto,"/>
    <n v="5"/>
    <n v="1"/>
    <n v="4"/>
    <n v="20"/>
    <n v="80"/>
    <n v="20"/>
    <s v="Tópico 5 Cifra_Simetrica P2 ER1: 1/5 execuções passaram (20,0%),"/>
  </r>
  <r>
    <s v="Tópico 5"/>
    <s v="Cifra_Simetrica"/>
    <x v="1"/>
    <s v="ER2"/>
    <s v="ER"/>
    <n v="3"/>
    <s v="Utilização incorreta de algoritmos, modos de operação ou bibliotecas criptográficas,"/>
    <n v="5"/>
    <n v="1"/>
    <n v="4"/>
    <n v="20"/>
    <n v="80"/>
    <n v="20"/>
    <s v="Tópico 5 Cifra_Simetrica P2 ER2: 1/5 execuções passaram (20,0%),"/>
  </r>
  <r>
    <s v="Tópico 5"/>
    <s v="Cifra_Simetrica"/>
    <x v="1"/>
    <s v="PA1"/>
    <s v="PA"/>
    <n v="3"/>
    <s v="Armazenamento ou exposição insegura de chaves criptográficas,"/>
    <n v="5"/>
    <n v="2"/>
    <n v="3"/>
    <n v="40"/>
    <n v="60"/>
    <n v="40"/>
    <s v="Tópico 5 Cifra_Simetrica P2 PA1: 2/5 execuções passaram (40,0%),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  <s v="Tópico 5 Cifra_Simetrica P2 PA2: 5/5 execuções passaram (100,0%),"/>
  </r>
  <r>
    <s v="Tópico 5"/>
    <s v="Cifra_Simetrica"/>
    <x v="2"/>
    <s v="ER1"/>
    <s v="ER"/>
    <n v="3"/>
    <s v="Geração insegura de chaves criptográficas ou chave com tamanho incorreto,"/>
    <n v="5"/>
    <n v="3"/>
    <n v="2"/>
    <n v="60"/>
    <n v="40"/>
    <n v="60"/>
    <s v="Tópico 5 Cifra_Simetrica P3 ER1: 3/5 execuções passaram (60,0%),"/>
  </r>
  <r>
    <s v="Tópico 5"/>
    <s v="Cifra_Simetrica"/>
    <x v="2"/>
    <s v="ER2"/>
    <s v="ER"/>
    <n v="3"/>
    <s v="Utilização incorreta de algoritmos, modos de operação ou bibliotecas criptográficas,"/>
    <n v="5"/>
    <n v="2"/>
    <n v="3"/>
    <n v="40"/>
    <n v="60"/>
    <n v="40"/>
    <s v="Tópico 5 Cifra_Simetrica P3 ER2: 2/5 execuções passaram (40,0%),"/>
  </r>
  <r>
    <s v="Tópico 5"/>
    <s v="Cifra_Simetrica"/>
    <x v="2"/>
    <s v="PA1"/>
    <s v="PA"/>
    <n v="3"/>
    <s v="Armazenamento ou exposição insegura de chaves criptográficas,"/>
    <n v="5"/>
    <n v="0"/>
    <n v="5"/>
    <n v="0"/>
    <n v="100"/>
    <n v="0"/>
    <s v="Tópico 5 Cifra_Simetrica P3 PA1: 0/5 execuções passaram (0,0%),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  <s v="Tópico 5 Cifra_Simetrica P3 PA2: 5/5 execuções passaram (100,0%),"/>
  </r>
  <r>
    <s v="Tópico 5"/>
    <s v="Cifra_Simetrica"/>
    <x v="3"/>
    <s v="ER1"/>
    <s v="ER"/>
    <n v="3"/>
    <s v="Geração insegura de chaves criptográficas ou chave com tamanho incorreto,"/>
    <n v="5"/>
    <n v="4"/>
    <n v="1"/>
    <n v="80"/>
    <n v="20"/>
    <n v="80"/>
    <s v="Tópico 5 Cifra_Simetrica P4 ER1: 4/5 execuções passaram (80,0%),"/>
  </r>
  <r>
    <s v="Tópico 5"/>
    <s v="Cifra_Simetrica"/>
    <x v="3"/>
    <s v="ER2"/>
    <s v="ER"/>
    <n v="3"/>
    <s v="Utilização incorreta de algoritmos, modos de operação ou bibliotecas criptográficas,"/>
    <n v="5"/>
    <n v="0"/>
    <n v="5"/>
    <n v="0"/>
    <n v="100"/>
    <n v="0"/>
    <s v="Tópico 5 Cifra_Simetrica P4 ER2: 0/5 execuções passaram (0,0%),"/>
  </r>
  <r>
    <s v="Tópico 5"/>
    <s v="Cifra_Simetrica"/>
    <x v="3"/>
    <s v="PA1"/>
    <s v="PA"/>
    <n v="3"/>
    <s v="Armazenamento ou exposição insegura de chaves criptográficas,"/>
    <n v="5"/>
    <n v="5"/>
    <n v="0"/>
    <n v="100"/>
    <n v="0"/>
    <n v="100"/>
    <s v="Tópico 5 Cifra_Simetrica P4 PA1: 5/5 execuções passaram (100,0%),"/>
  </r>
  <r>
    <s v="Tópico 5"/>
    <s v="Cifra_Simetrica"/>
    <x v="3"/>
    <s v="PA2"/>
    <s v="PA"/>
    <n v="2"/>
    <s v="Gestão inadequada dos ficheiros produzidos durante a cifra ou decifra,"/>
    <n v="5"/>
    <n v="2"/>
    <n v="3"/>
    <n v="40"/>
    <n v="60"/>
    <n v="40"/>
    <s v="Tópico 5 Cifra_Simetrica P4 PA2: 2/5 execuções passaram (40,0%),"/>
  </r>
  <r>
    <s v="Tópico 5"/>
    <s v="Decifra_Hibrida"/>
    <x v="0"/>
    <s v="ER2"/>
    <s v="ER"/>
    <n v="3"/>
    <s v="Utilização incorreta de algoritmos, modos de operação ou bibliotecas criptográficas,"/>
    <n v="5"/>
    <n v="0"/>
    <n v="5"/>
    <n v="0"/>
    <n v="100"/>
    <n v="0"/>
    <s v="Tópico 5 Decifra_Hibrida P1 ER2: 0/5 execuções passaram (0,0%),"/>
  </r>
  <r>
    <s v="Tópico 5"/>
    <s v="Decifra_Hibrida"/>
    <x v="0"/>
    <s v="ER3"/>
    <s v="ER"/>
    <n v="3"/>
    <s v="Ausência ou implementação incorreta de criptografia híbrida quando aplicável,"/>
    <n v="5"/>
    <n v="0"/>
    <n v="5"/>
    <n v="0"/>
    <n v="100"/>
    <n v="0"/>
    <s v="Tópico 5 Decifra_Hibrida P1 ER3: 0/5 execuções passaram (0,0%),"/>
  </r>
  <r>
    <s v="Tópico 5"/>
    <s v="Decifra_Hibrida"/>
    <x v="0"/>
    <s v="PA1"/>
    <s v="PA"/>
    <n v="3"/>
    <s v="Armazenamento ou exposição insegura de chaves criptográficas,"/>
    <n v="5"/>
    <n v="5"/>
    <n v="0"/>
    <n v="100"/>
    <n v="0"/>
    <n v="100"/>
    <s v="Tópico 5 Decifra_Hibrida P1 PA1: 5/5 execuções passaram (100,0%),"/>
  </r>
  <r>
    <s v="Tópico 5"/>
    <s v="Decifra_Hibrida"/>
    <x v="0"/>
    <s v="PA2"/>
    <s v="PA"/>
    <n v="2"/>
    <s v="Gestão inadequada dos ficheiros produzidos durante a cifra ou decifra,"/>
    <n v="5"/>
    <n v="0"/>
    <n v="5"/>
    <n v="0"/>
    <n v="100"/>
    <n v="0"/>
    <s v="Tópico 5 Decifra_Hibrida P1 PA2: 0/5 execuções passaram (0,0%),"/>
  </r>
  <r>
    <s v="Tópico 5"/>
    <s v="Decifra_Hibrida"/>
    <x v="1"/>
    <s v="ER2"/>
    <s v="ER"/>
    <n v="3"/>
    <s v="Utilização incorreta de algoritmos, modos de operação ou bibliotecas criptográficas,"/>
    <n v="5"/>
    <n v="0"/>
    <n v="5"/>
    <n v="0"/>
    <n v="100"/>
    <n v="0"/>
    <s v="Tópico 5 Decifra_Hibrida P2 ER2: 0/5 execuções passaram (0,0%),"/>
  </r>
  <r>
    <s v="Tópico 5"/>
    <s v="Decifra_Hibrida"/>
    <x v="1"/>
    <s v="ER3"/>
    <s v="ER"/>
    <n v="3"/>
    <s v="Ausência ou implementação incorreta de criptografia híbrida quando aplicável,"/>
    <n v="5"/>
    <n v="0"/>
    <n v="5"/>
    <n v="0"/>
    <n v="100"/>
    <n v="0"/>
    <s v="Tópico 5 Decifra_Hibrida P2 ER3: 0/5 execuções passaram (0,0%),"/>
  </r>
  <r>
    <s v="Tópico 5"/>
    <s v="Decifra_Hibrida"/>
    <x v="1"/>
    <s v="PA1"/>
    <s v="PA"/>
    <n v="3"/>
    <s v="Armazenamento ou exposição insegura de chaves criptográficas,"/>
    <n v="5"/>
    <n v="5"/>
    <n v="0"/>
    <n v="100"/>
    <n v="0"/>
    <n v="100"/>
    <s v="Tópico 5 Decifra_Hibrida P2 PA1: 5/5 execuções passaram (100,0%),"/>
  </r>
  <r>
    <s v="Tópico 5"/>
    <s v="Decifra_Hibrida"/>
    <x v="1"/>
    <s v="PA2"/>
    <s v="PA"/>
    <n v="2"/>
    <s v="Gestão inadequada dos ficheiros produzidos durante a cifra ou decifra,"/>
    <n v="5"/>
    <n v="5"/>
    <n v="0"/>
    <n v="100"/>
    <n v="0"/>
    <n v="100"/>
    <s v="Tópico 5 Decifra_Hibrida P2 PA2: 5/5 execuções passaram (100,0%),"/>
  </r>
  <r>
    <s v="Tópico 5"/>
    <s v="Decifra_Hibrida"/>
    <x v="2"/>
    <s v="ER2"/>
    <s v="ER"/>
    <n v="3"/>
    <s v="Utilização incorreta de algoritmos, modos de operação ou bibliotecas criptográficas,"/>
    <n v="5"/>
    <n v="4"/>
    <n v="1"/>
    <n v="80"/>
    <n v="20"/>
    <n v="80"/>
    <s v="Tópico 5 Decifra_Hibrida P3 ER2: 4/5 execuções passaram (80,0%),"/>
  </r>
  <r>
    <s v="Tópico 5"/>
    <s v="Decifra_Hibrida"/>
    <x v="2"/>
    <s v="ER3"/>
    <s v="ER"/>
    <n v="3"/>
    <s v="Ausência ou implementação incorreta de criptografia híbrida quando aplicável,"/>
    <n v="5"/>
    <n v="4"/>
    <n v="1"/>
    <n v="80"/>
    <n v="20"/>
    <n v="80"/>
    <s v="Tópico 5 Decifra_Hibrida P3 ER3: 4/5 execuções passaram (80,0%),"/>
  </r>
  <r>
    <s v="Tópico 5"/>
    <s v="Decifra_Hibrida"/>
    <x v="2"/>
    <s v="PA1"/>
    <s v="PA"/>
    <n v="3"/>
    <s v="Armazenamento ou exposição insegura de chaves criptográficas,"/>
    <n v="5"/>
    <n v="2"/>
    <n v="3"/>
    <n v="40"/>
    <n v="60"/>
    <n v="40"/>
    <s v="Tópico 5 Decifra_Hibrida P3 PA1: 2/5 execuções passaram (40,0%),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  <s v="Tópico 5 Decifra_Hibrida P3 PA2: 5/5 execuções passaram (100,0%),"/>
  </r>
  <r>
    <s v="Tópico 5"/>
    <s v="Decifra_Hibrida"/>
    <x v="3"/>
    <s v="ER2"/>
    <s v="ER"/>
    <n v="3"/>
    <s v="Utilização incorreta de algoritmos, modos de operação ou bibliotecas criptográficas,"/>
    <n v="5"/>
    <n v="1"/>
    <n v="4"/>
    <n v="20"/>
    <n v="80"/>
    <n v="20"/>
    <s v="Tópico 5 Decifra_Hibrida P4 ER2: 1/5 execuções passaram (20,0%),"/>
  </r>
  <r>
    <s v="Tópico 5"/>
    <s v="Decifra_Hibrida"/>
    <x v="3"/>
    <s v="ER3"/>
    <s v="ER"/>
    <n v="3"/>
    <s v="Ausência ou implementação incorreta de criptografia híbrida quando aplicável,"/>
    <n v="5"/>
    <n v="1"/>
    <n v="4"/>
    <n v="20"/>
    <n v="80"/>
    <n v="20"/>
    <s v="Tópico 5 Decifra_Hibrida P4 ER3: 1/5 execuções passaram (20,0%),"/>
  </r>
  <r>
    <s v="Tópico 5"/>
    <s v="Decifra_Hibrida"/>
    <x v="3"/>
    <s v="PA1"/>
    <s v="PA"/>
    <n v="3"/>
    <s v="Armazenamento ou exposição insegura de chaves criptográficas,"/>
    <n v="5"/>
    <n v="5"/>
    <n v="0"/>
    <n v="100"/>
    <n v="0"/>
    <n v="100"/>
    <s v="Tópico 5 Decifra_Hibrida P4 PA1: 5/5 execuções passaram (100,0%),"/>
  </r>
  <r>
    <s v="Tópico 5"/>
    <s v="Decifra_Hibrida"/>
    <x v="3"/>
    <s v="PA2"/>
    <s v="PA"/>
    <n v="2"/>
    <s v="Gestão inadequada dos ficheiros produzidos durante a cifra ou decifra,"/>
    <n v="5"/>
    <n v="2"/>
    <n v="3"/>
    <n v="40"/>
    <n v="60"/>
    <n v="40"/>
    <s v="Tópico 5 Decifra_Hibrida P4 PA2: 2/5 execuções passaram (40,0%),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0"/>
    <n v="5"/>
    <n v="0"/>
    <n v="100"/>
    <s v="Tópico 1 ER1 P1: 0/5 execuções falharam (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4"/>
    <n v="1"/>
    <n v="80"/>
    <n v="20"/>
    <s v="Tópico 1 ER2 P1: 4/5 execuções falharam (80,0%),"/>
  </r>
  <r>
    <s v="Tópico 1"/>
    <s v="ER2"/>
    <x v="1"/>
    <n v="5"/>
    <n v="0"/>
    <n v="5"/>
    <n v="0"/>
    <n v="100"/>
    <s v="Tópico 1 ER2 P2: 0/5 execuções falharam (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3"/>
    <n v="2"/>
    <n v="60"/>
    <n v="40"/>
    <s v="Tópico 1 ER2 P4: 3/5 execuções falharam (60,0%),"/>
  </r>
  <r>
    <s v="Tópico 1"/>
    <s v="ER3"/>
    <x v="0"/>
    <n v="5"/>
    <n v="0"/>
    <n v="5"/>
    <n v="0"/>
    <n v="100"/>
    <s v="Tópico 1 ER3 P1: 0/5 execuções falharam (0,0%),"/>
  </r>
  <r>
    <s v="Tópico 1"/>
    <s v="ER3"/>
    <x v="1"/>
    <n v="5"/>
    <n v="5"/>
    <n v="0"/>
    <n v="100"/>
    <n v="0"/>
    <s v="Tópico 1 ER3 P2: 5/5 execuções falharam (100,0%),"/>
  </r>
  <r>
    <s v="Tópico 1"/>
    <s v="ER3"/>
    <x v="2"/>
    <n v="5"/>
    <n v="1"/>
    <n v="4"/>
    <n v="20"/>
    <n v="80"/>
    <s v="Tópico 1 ER3 P3: 1/5 execuções falharam (20,0%),"/>
  </r>
  <r>
    <s v="Tópico 1"/>
    <s v="ER3"/>
    <x v="3"/>
    <n v="5"/>
    <n v="1"/>
    <n v="4"/>
    <n v="20"/>
    <n v="80"/>
    <s v="Tópico 1 ER3 P4: 1/5 execuções falharam (2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0"/>
    <n v="5"/>
    <n v="0"/>
    <n v="100"/>
    <s v="Tópico 1 PA1 P2: 0/5 execuções falharam (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5"/>
    <n v="0"/>
    <n v="100"/>
    <n v="0"/>
    <s v="Tópico 1 PA1 P4: 5/5 execuções falharam (100,0%),"/>
  </r>
  <r>
    <s v="Tópico 1"/>
    <s v="PA2"/>
    <x v="0"/>
    <n v="5"/>
    <n v="0"/>
    <n v="5"/>
    <n v="0"/>
    <n v="100"/>
    <s v="Tópico 1 PA2 P1: 0/5 execuções falharam (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2"/>
    <n v="3"/>
    <n v="40"/>
    <n v="60"/>
    <s v="Tópico 2 ER1 P1: 2/5 execuções falharam (40,0%),"/>
  </r>
  <r>
    <s v="Tópico 2"/>
    <s v="ER1"/>
    <x v="1"/>
    <n v="5"/>
    <n v="0"/>
    <n v="5"/>
    <n v="0"/>
    <n v="100"/>
    <s v="Tópico 2 ER1 P2: 0/5 execuções falharam (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5"/>
    <n v="0"/>
    <n v="100"/>
    <n v="0"/>
    <s v="Tópico 2 ER1 P4: 5/5 execuções falharam (100,0%),"/>
  </r>
  <r>
    <s v="Tópico 2"/>
    <s v="ER2"/>
    <x v="0"/>
    <n v="5"/>
    <n v="3"/>
    <n v="2"/>
    <n v="60"/>
    <n v="40"/>
    <s v="Tópico 2 ER2 P1: 3/5 execuções falharam (60,0%),"/>
  </r>
  <r>
    <s v="Tópico 2"/>
    <s v="ER2"/>
    <x v="1"/>
    <n v="5"/>
    <n v="1"/>
    <n v="4"/>
    <n v="20"/>
    <n v="80"/>
    <s v="Tópico 2 ER2 P2: 1/5 execuções falharam (2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4"/>
    <n v="1"/>
    <n v="80"/>
    <n v="20"/>
    <s v="Tópico 2 ER2 P4: 4/5 execuções falharam (8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0"/>
    <n v="5"/>
    <n v="0"/>
    <n v="100"/>
    <s v="Tópico 2 PA1 P2: 0/5 execuções falharam (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5"/>
    <n v="0"/>
    <n v="100"/>
    <n v="0"/>
    <s v="Tópico 2 PA1 P4: 5/5 execuções falharam (100,0%),"/>
  </r>
  <r>
    <s v="Tópico 2"/>
    <s v="PA2"/>
    <x v="0"/>
    <n v="5"/>
    <n v="3"/>
    <n v="2"/>
    <n v="60"/>
    <n v="40"/>
    <s v="Tópico 2 PA2 P1: 3/5 execuções falharam (60,0%),"/>
  </r>
  <r>
    <s v="Tópico 2"/>
    <s v="PA2"/>
    <x v="1"/>
    <n v="5"/>
    <n v="1"/>
    <n v="4"/>
    <n v="20"/>
    <n v="80"/>
    <s v="Tópico 2 PA2 P2: 1/5 execuções falharam (2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5"/>
    <n v="0"/>
    <n v="100"/>
    <n v="0"/>
    <s v="Tópico 2 PA2 P4: 5/5 execuções falharam (100,0%),"/>
  </r>
  <r>
    <s v="Tópico 3"/>
    <s v="ER1"/>
    <x v="0"/>
    <n v="5"/>
    <n v="3"/>
    <n v="2"/>
    <n v="60"/>
    <n v="40"/>
    <s v="Tópico 3 ER1 P1: 3/5 execuções falharam (60,0%),"/>
  </r>
  <r>
    <s v="Tópico 3"/>
    <s v="ER1"/>
    <x v="1"/>
    <n v="5"/>
    <n v="4"/>
    <n v="1"/>
    <n v="80"/>
    <n v="20"/>
    <s v="Tópico 3 ER1 P2: 4/5 execuções falharam (80,0%),"/>
  </r>
  <r>
    <s v="Tópico 3"/>
    <s v="ER1"/>
    <x v="2"/>
    <n v="5"/>
    <n v="4"/>
    <n v="1"/>
    <n v="80"/>
    <n v="20"/>
    <s v="Tópico 3 ER1 P3: 4/5 execuções falharam (80,0%),"/>
  </r>
  <r>
    <s v="Tópico 3"/>
    <s v="ER1"/>
    <x v="3"/>
    <n v="5"/>
    <n v="3"/>
    <n v="2"/>
    <n v="60"/>
    <n v="40"/>
    <s v="Tópico 3 ER1 P4: 3/5 execuções falharam (6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1"/>
    <n v="4"/>
    <n v="20"/>
    <n v="80"/>
    <s v="Tópico 3 ER2 P2: 1/5 execuções falharam (20,0%),"/>
  </r>
  <r>
    <s v="Tópico 3"/>
    <s v="ER2"/>
    <x v="2"/>
    <n v="5"/>
    <n v="5"/>
    <n v="0"/>
    <n v="100"/>
    <n v="0"/>
    <s v="Tópico 3 ER2 P3: 5/5 execuções falharam (10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4"/>
    <n v="1"/>
    <n v="80"/>
    <n v="20"/>
    <s v="Tópico 3 PA1 P1: 4/5 execuções falharam (80,0%),"/>
  </r>
  <r>
    <s v="Tópico 3"/>
    <s v="PA1"/>
    <x v="1"/>
    <n v="5"/>
    <n v="0"/>
    <n v="5"/>
    <n v="0"/>
    <n v="100"/>
    <s v="Tópico 3 PA1 P2: 0/5 execuções falharam (0,0%),"/>
  </r>
  <r>
    <s v="Tópico 3"/>
    <s v="PA1"/>
    <x v="2"/>
    <n v="5"/>
    <n v="0"/>
    <n v="5"/>
    <n v="0"/>
    <n v="100"/>
    <s v="Tópico 3 PA1 P3: 0/5 execuções falharam (0,0%),"/>
  </r>
  <r>
    <s v="Tópico 3"/>
    <s v="PA1"/>
    <x v="3"/>
    <n v="5"/>
    <n v="0"/>
    <n v="5"/>
    <n v="0"/>
    <n v="100"/>
    <s v="Tópico 3 PA1 P4: 0/5 execuções falharam (0,0%),"/>
  </r>
  <r>
    <s v="Tópico 3"/>
    <s v="PA2"/>
    <x v="0"/>
    <n v="5"/>
    <n v="0"/>
    <n v="5"/>
    <n v="0"/>
    <n v="100"/>
    <s v="Tópico 3 PA2 P1: 0/5 execuções falharam (0,0%),"/>
  </r>
  <r>
    <s v="Tópico 3"/>
    <s v="PA2"/>
    <x v="1"/>
    <n v="5"/>
    <n v="0"/>
    <n v="5"/>
    <n v="0"/>
    <n v="100"/>
    <s v="Tópico 3 PA2 P2: 0/5 execuções falharam (0,0%),"/>
  </r>
  <r>
    <s v="Tópico 3"/>
    <s v="PA2"/>
    <x v="2"/>
    <n v="5"/>
    <n v="4"/>
    <n v="1"/>
    <n v="80"/>
    <n v="20"/>
    <s v="Tópico 3 PA2 P3: 4/5 execuções falharam (80,0%),"/>
  </r>
  <r>
    <s v="Tópico 3"/>
    <s v="PA2"/>
    <x v="3"/>
    <n v="5"/>
    <n v="4"/>
    <n v="1"/>
    <n v="80"/>
    <n v="20"/>
    <s v="Tópico 3 PA2 P4: 4/5 execuções falharam (80,0%),"/>
  </r>
  <r>
    <s v="Tópico 4"/>
    <s v="ER1"/>
    <x v="0"/>
    <n v="5"/>
    <n v="4"/>
    <n v="1"/>
    <n v="80"/>
    <n v="20"/>
    <s v="Tópico 4 ER1 P1: 4/5 execuções falharam (80,0%),"/>
  </r>
  <r>
    <s v="Tópico 4"/>
    <s v="ER1"/>
    <x v="1"/>
    <n v="5"/>
    <n v="0"/>
    <n v="5"/>
    <n v="0"/>
    <n v="100"/>
    <s v="Tópico 4 ER1 P2: 0/5 execuções falharam (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5"/>
    <n v="0"/>
    <n v="100"/>
    <n v="0"/>
    <s v="Tópico 4 ER1 P4: 5/5 execuções falharam (100,0%),"/>
  </r>
  <r>
    <s v="Tópico 4"/>
    <s v="ER2"/>
    <x v="0"/>
    <n v="5"/>
    <n v="0"/>
    <n v="5"/>
    <n v="0"/>
    <n v="100"/>
    <s v="Tópico 4 ER2 P1: 0/5 execuções falharam (0,0%),"/>
  </r>
  <r>
    <s v="Tópico 4"/>
    <s v="ER2"/>
    <x v="1"/>
    <n v="5"/>
    <n v="0"/>
    <n v="5"/>
    <n v="0"/>
    <n v="100"/>
    <s v="Tópico 4 ER2 P2: 0/5 execuções falharam (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0"/>
    <n v="5"/>
    <n v="0"/>
    <n v="100"/>
    <s v="Tópico 4 ER2 P4: 0/5 execuções falharam (0,0%),"/>
  </r>
  <r>
    <s v="Tópico 4"/>
    <s v="PA1"/>
    <x v="0"/>
    <n v="5"/>
    <n v="0"/>
    <n v="5"/>
    <n v="0"/>
    <n v="100"/>
    <s v="Tópico 4 PA1 P1: 0/5 execuções falharam (0,0%),"/>
  </r>
  <r>
    <s v="Tópico 4"/>
    <s v="PA1"/>
    <x v="1"/>
    <n v="5"/>
    <n v="0"/>
    <n v="5"/>
    <n v="0"/>
    <n v="100"/>
    <s v="Tópico 4 PA1 P2: 0/5 execuções falharam (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1"/>
    <n v="4"/>
    <n v="20"/>
    <n v="80"/>
    <s v="Tópico 4 PA1 P4: 1/5 execuções falharam (20,0%),"/>
  </r>
  <r>
    <s v="Tópico 4"/>
    <s v="PA2"/>
    <x v="0"/>
    <n v="5"/>
    <n v="2"/>
    <n v="3"/>
    <n v="40"/>
    <n v="60"/>
    <s v="Tópico 4 PA2 P1: 2/5 execuções falharam (40,0%),"/>
  </r>
  <r>
    <s v="Tópico 4"/>
    <s v="PA2"/>
    <x v="1"/>
    <n v="5"/>
    <n v="4"/>
    <n v="1"/>
    <n v="80"/>
    <n v="20"/>
    <s v="Tópico 4 PA2 P2: 4/5 execuções falharam (80,0%),"/>
  </r>
  <r>
    <s v="Tópico 4"/>
    <s v="PA2"/>
    <x v="2"/>
    <n v="5"/>
    <n v="0"/>
    <n v="5"/>
    <n v="0"/>
    <n v="100"/>
    <s v="Tópico 4 PA2 P3: 0/5 execuções falharam (0,0%),"/>
  </r>
  <r>
    <s v="Tópico 4"/>
    <s v="PA2"/>
    <x v="3"/>
    <n v="5"/>
    <n v="0"/>
    <n v="5"/>
    <n v="0"/>
    <n v="100"/>
    <s v="Tópico 4 PA2 P4: 0/5 execuções falharam (0,0%),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Hibrida"/>
    <x v="0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Cifra_Hibrida"/>
    <x v="0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Cifra_Hibrid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0"/>
    <s v="PA2"/>
    <s v="PA"/>
    <n v="2"/>
    <s v="Gestão inadequada dos ficheiros produzidos durante a cifra ou decifra,"/>
    <n v="5"/>
    <n v="3"/>
    <n v="2"/>
    <n v="60"/>
    <n v="40"/>
    <n v="60"/>
  </r>
  <r>
    <s v="Tópico 5"/>
    <s v="Cifra_Hibrida"/>
    <x v="1"/>
    <s v="ER1"/>
    <s v="ER"/>
    <n v="3"/>
    <s v="Geração insegura de chaves criptográficas ou chave com tamanho incorreto,"/>
    <n v="5"/>
    <n v="5"/>
    <n v="0"/>
    <n v="100"/>
    <n v="0"/>
    <n v="100"/>
  </r>
  <r>
    <s v="Tópico 5"/>
    <s v="Cifra_Hibrida"/>
    <x v="1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Hibrida"/>
    <x v="1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Cifra_Hibrid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1"/>
    <s v="PA2"/>
    <s v="PA"/>
    <n v="2"/>
    <s v="Gestão inadequada dos ficheiros produzidos durante a cifra ou decifra,"/>
    <n v="5"/>
    <n v="3"/>
    <n v="2"/>
    <n v="60"/>
    <n v="40"/>
    <n v="60"/>
  </r>
  <r>
    <s v="Tópico 5"/>
    <s v="Cifra_Hibrida"/>
    <x v="2"/>
    <s v="ER1"/>
    <s v="ER"/>
    <n v="3"/>
    <s v="Geração insegura de chaves criptográficas ou chave com tamanho incorreto,"/>
    <n v="5"/>
    <n v="1"/>
    <n v="4"/>
    <n v="20"/>
    <n v="80"/>
    <n v="20"/>
  </r>
  <r>
    <s v="Tópico 5"/>
    <s v="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Cifra_Hibrida"/>
    <x v="2"/>
    <s v="ER3"/>
    <s v="ER"/>
    <n v="3"/>
    <s v="Ausência ou implementação incorreta de criptografia híbrida quando aplicável,"/>
    <n v="5"/>
    <n v="5"/>
    <n v="0"/>
    <n v="100"/>
    <n v="0"/>
    <n v="100"/>
  </r>
  <r>
    <s v="Tópico 5"/>
    <s v="Cifra_Hibrida"/>
    <x v="2"/>
    <s v="PA1"/>
    <s v="PA"/>
    <n v="3"/>
    <s v="Armazenamento ou exposição insegura de chaves criptográficas,"/>
    <n v="5"/>
    <n v="1"/>
    <n v="4"/>
    <n v="20"/>
    <n v="80"/>
    <n v="20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Hibrida"/>
    <x v="3"/>
    <s v="ER1"/>
    <s v="ER"/>
    <n v="3"/>
    <s v="Geração insegura de chaves criptográficas ou chave com tamanho incorreto,"/>
    <n v="5"/>
    <n v="4"/>
    <n v="1"/>
    <n v="80"/>
    <n v="20"/>
    <n v="80"/>
  </r>
  <r>
    <s v="Tópico 5"/>
    <s v="Cifra_Hibrida"/>
    <x v="3"/>
    <s v="ER2"/>
    <s v="ER"/>
    <n v="3"/>
    <s v="Utilização incorreta de algoritmos, modos de operação ou bibliotecas criptográficas,"/>
    <n v="5"/>
    <n v="3"/>
    <n v="2"/>
    <n v="60"/>
    <n v="40"/>
    <n v="60"/>
  </r>
  <r>
    <s v="Tópico 5"/>
    <s v="Cifra_Hibrida"/>
    <x v="3"/>
    <s v="ER3"/>
    <s v="ER"/>
    <n v="3"/>
    <s v="Ausência ou implementação incorreta de criptografia híbrida quando aplicável,"/>
    <n v="5"/>
    <n v="2"/>
    <n v="3"/>
    <n v="40"/>
    <n v="60"/>
    <n v="40"/>
  </r>
  <r>
    <s v="Tópico 5"/>
    <s v="Cifra_Hibrida"/>
    <x v="3"/>
    <s v="PA1"/>
    <s v="PA"/>
    <n v="3"/>
    <s v="Armazenamento ou exposição insegura de chaves criptográficas,"/>
    <n v="5"/>
    <n v="4"/>
    <n v="1"/>
    <n v="80"/>
    <n v="20"/>
    <n v="80"/>
  </r>
  <r>
    <s v="Tópico 5"/>
    <s v="Cifra_Hibrida"/>
    <x v="3"/>
    <s v="PA2"/>
    <s v="PA"/>
    <n v="2"/>
    <s v="Gestão inadequada dos ficheiros produzidos durante a cifra ou decifra,"/>
    <n v="5"/>
    <n v="1"/>
    <n v="4"/>
    <n v="20"/>
    <n v="80"/>
    <n v="20"/>
  </r>
  <r>
    <s v="Tópico 5"/>
    <s v="Cifra_Simetrica"/>
    <x v="0"/>
    <s v="ER1"/>
    <s v="ER"/>
    <n v="3"/>
    <s v="Geração insegura de chaves criptográficas ou chave com tamanho incorreto,"/>
    <n v="5"/>
    <n v="0"/>
    <n v="5"/>
    <n v="0"/>
    <n v="100"/>
    <n v="0"/>
  </r>
  <r>
    <s v="Tópico 5"/>
    <s v="Cifra_Simetrica"/>
    <x v="0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Simetrica"/>
    <x v="0"/>
    <s v="PA1"/>
    <s v="PA"/>
    <n v="3"/>
    <s v="Armazenamento ou exposição insegura de chaves criptográficas,"/>
    <n v="5"/>
    <n v="1"/>
    <n v="4"/>
    <n v="20"/>
    <n v="80"/>
    <n v="20"/>
  </r>
  <r>
    <s v="Tópico 5"/>
    <s v="Cifra_Simetrica"/>
    <x v="0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1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Simetrica"/>
    <x v="1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Simetrica"/>
    <x v="1"/>
    <s v="PA1"/>
    <s v="PA"/>
    <n v="3"/>
    <s v="Armazenamento ou exposição insegura de chaves criptográficas,"/>
    <n v="5"/>
    <n v="1"/>
    <n v="4"/>
    <n v="20"/>
    <n v="80"/>
    <n v="20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2"/>
    <s v="ER1"/>
    <s v="ER"/>
    <n v="3"/>
    <s v="Geração insegura de chaves criptográficas ou chave com tamanho incorreto,"/>
    <n v="5"/>
    <n v="2"/>
    <n v="3"/>
    <n v="40"/>
    <n v="60"/>
    <n v="40"/>
  </r>
  <r>
    <s v="Tópico 5"/>
    <s v="Cifra_Simetrica"/>
    <x v="2"/>
    <s v="ER2"/>
    <s v="ER"/>
    <n v="3"/>
    <s v="Utilização incorreta de algoritmos, modos de operação ou bibliotecas criptográficas,"/>
    <n v="5"/>
    <n v="3"/>
    <n v="2"/>
    <n v="60"/>
    <n v="40"/>
    <n v="60"/>
  </r>
  <r>
    <s v="Tópico 5"/>
    <s v="Cifra_Simetrica"/>
    <x v="2"/>
    <s v="PA1"/>
    <s v="PA"/>
    <n v="3"/>
    <s v="Armazenamento ou exposição insegura de chaves criptográficas,"/>
    <n v="5"/>
    <n v="1"/>
    <n v="4"/>
    <n v="20"/>
    <n v="80"/>
    <n v="20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3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Simetric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Cifra_Simetric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3"/>
    <s v="PA2"/>
    <s v="PA"/>
    <n v="2"/>
    <s v="Gestão inadequada dos ficheiros produzidos durante a cifra ou decifra,"/>
    <n v="5"/>
    <n v="2"/>
    <n v="3"/>
    <n v="40"/>
    <n v="60"/>
    <n v="40"/>
  </r>
  <r>
    <s v="Tópico 5"/>
    <s v="Decifra_Hibrida"/>
    <x v="0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0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Decifra_Hibrid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0"/>
    <s v="PA2"/>
    <s v="PA"/>
    <n v="2"/>
    <s v="Gestão inadequada dos ficheiros produzidos durante a cifra ou decifra,"/>
    <n v="5"/>
    <n v="0"/>
    <n v="5"/>
    <n v="0"/>
    <n v="100"/>
    <n v="0"/>
  </r>
  <r>
    <s v="Tópico 5"/>
    <s v="Decifra_Hibrida"/>
    <x v="1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1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Decifra_Hibrid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1"/>
    <s v="PA2"/>
    <s v="PA"/>
    <n v="2"/>
    <s v="Gestão inadequada dos ficheiros produzidos durante a cifra ou decifra,"/>
    <n v="5"/>
    <n v="3"/>
    <n v="2"/>
    <n v="60"/>
    <n v="40"/>
    <n v="60"/>
  </r>
  <r>
    <s v="Tópico 5"/>
    <s v="De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Decifra_Hibrida"/>
    <x v="2"/>
    <s v="ER3"/>
    <s v="ER"/>
    <n v="3"/>
    <s v="Ausência ou implementação incorreta de criptografia híbrida quando aplicável,"/>
    <n v="5"/>
    <n v="4"/>
    <n v="1"/>
    <n v="80"/>
    <n v="20"/>
    <n v="80"/>
  </r>
  <r>
    <s v="Tópico 5"/>
    <s v="Decifra_Hibrida"/>
    <x v="2"/>
    <s v="PA1"/>
    <s v="PA"/>
    <n v="3"/>
    <s v="Armazenamento ou exposição insegura de chaves criptográficas,"/>
    <n v="5"/>
    <n v="1"/>
    <n v="4"/>
    <n v="20"/>
    <n v="80"/>
    <n v="20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3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Decifra_Hibrid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3"/>
    <s v="PA2"/>
    <s v="PA"/>
    <n v="2"/>
    <s v="Gestão inadequada dos ficheiros produzidos durante a cifra ou decifra,"/>
    <n v="5"/>
    <n v="1"/>
    <n v="4"/>
    <n v="20"/>
    <n v="80"/>
    <n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1"/>
    <n v="4"/>
    <n v="20"/>
    <n v="80"/>
    <s v="Tópico 1 ER1 P1: 1/5 execuções falharam (2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5"/>
    <n v="0"/>
    <n v="100"/>
    <n v="0"/>
    <s v="Tópico 1 ER2 P1: 5/5 execuções falharam (100,0%),"/>
  </r>
  <r>
    <s v="Tópico 1"/>
    <s v="ER2"/>
    <x v="1"/>
    <n v="5"/>
    <n v="5"/>
    <n v="0"/>
    <n v="100"/>
    <n v="0"/>
    <s v="Tópico 1 ER2 P2: 5/5 execuções falharam (10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1"/>
    <n v="4"/>
    <n v="20"/>
    <n v="80"/>
    <s v="Tópico 1 ER2 P4: 1/5 execuções falharam (20,0%),"/>
  </r>
  <r>
    <s v="Tópico 1"/>
    <s v="ER3"/>
    <x v="0"/>
    <n v="5"/>
    <n v="5"/>
    <n v="0"/>
    <n v="100"/>
    <n v="0"/>
    <s v="Tópico 1 ER3 P1: 5/5 execuções falharam (100,0%),"/>
  </r>
  <r>
    <s v="Tópico 1"/>
    <s v="ER3"/>
    <x v="1"/>
    <n v="5"/>
    <n v="2"/>
    <n v="3"/>
    <n v="40"/>
    <n v="60"/>
    <s v="Tópico 1 ER3 P2: 2/5 execuções falharam (40,0%),"/>
  </r>
  <r>
    <s v="Tópico 1"/>
    <s v="ER3"/>
    <x v="2"/>
    <n v="5"/>
    <n v="0"/>
    <n v="5"/>
    <n v="0"/>
    <n v="100"/>
    <s v="Tópico 1 ER3 P3: 0/5 execuções falharam (0,0%),"/>
  </r>
  <r>
    <s v="Tópico 1"/>
    <s v="ER3"/>
    <x v="3"/>
    <n v="5"/>
    <n v="4"/>
    <n v="1"/>
    <n v="80"/>
    <n v="20"/>
    <s v="Tópico 1 ER3 P4: 4/5 execuções falharam (8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0"/>
    <n v="5"/>
    <n v="0"/>
    <n v="100"/>
    <s v="Tópico 1 PA1 P2: 0/5 execuções falharam (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2"/>
    <n v="3"/>
    <n v="40"/>
    <n v="60"/>
    <s v="Tópico 1 PA1 P4: 2/5 execuções falharam (40,0%),"/>
  </r>
  <r>
    <s v="Tópico 1"/>
    <s v="PA2"/>
    <x v="0"/>
    <n v="5"/>
    <n v="0"/>
    <n v="5"/>
    <n v="0"/>
    <n v="100"/>
    <s v="Tópico 1 PA2 P1: 0/5 execuções falharam (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5"/>
    <n v="0"/>
    <n v="100"/>
    <n v="0"/>
    <s v="Tópico 2 ER1 P1: 5/5 execuções falharam (100,0%),"/>
  </r>
  <r>
    <s v="Tópico 2"/>
    <s v="ER1"/>
    <x v="1"/>
    <n v="5"/>
    <n v="5"/>
    <n v="0"/>
    <n v="100"/>
    <n v="0"/>
    <s v="Tópico 2 ER1 P2: 5/5 execuções falharam (10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4"/>
    <n v="1"/>
    <n v="80"/>
    <n v="20"/>
    <s v="Tópico 2 ER1 P4: 4/5 execuções falharam (80,0%),"/>
  </r>
  <r>
    <s v="Tópico 2"/>
    <s v="ER2"/>
    <x v="0"/>
    <n v="5"/>
    <n v="5"/>
    <n v="0"/>
    <n v="100"/>
    <n v="0"/>
    <s v="Tópico 2 ER2 P1: 5/5 execuções falharam (100,0%),"/>
  </r>
  <r>
    <s v="Tópico 2"/>
    <s v="ER2"/>
    <x v="1"/>
    <n v="5"/>
    <n v="5"/>
    <n v="0"/>
    <n v="100"/>
    <n v="0"/>
    <s v="Tópico 2 ER2 P2: 5/5 execuções falharam (10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5"/>
    <n v="0"/>
    <n v="100"/>
    <n v="0"/>
    <s v="Tópico 2 ER2 P4: 5/5 execuções falharam (10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3"/>
    <n v="2"/>
    <n v="60"/>
    <n v="40"/>
    <s v="Tópico 2 PA1 P2: 3/5 execuções falharam (6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0"/>
    <n v="5"/>
    <n v="0"/>
    <n v="100"/>
    <s v="Tópico 2 PA1 P4: 0/5 execuções falharam (0,0%),"/>
  </r>
  <r>
    <s v="Tópico 2"/>
    <s v="PA2"/>
    <x v="0"/>
    <n v="5"/>
    <n v="5"/>
    <n v="0"/>
    <n v="100"/>
    <n v="0"/>
    <s v="Tópico 2 PA2 P1: 5/5 execuções falharam (100,0%),"/>
  </r>
  <r>
    <s v="Tópico 2"/>
    <s v="PA2"/>
    <x v="1"/>
    <n v="5"/>
    <n v="0"/>
    <n v="5"/>
    <n v="0"/>
    <n v="100"/>
    <s v="Tópico 2 PA2 P2: 0/5 execuções falharam (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1"/>
    <n v="4"/>
    <n v="20"/>
    <n v="80"/>
    <s v="Tópico 2 PA2 P4: 1/5 execuções falharam (20,0%),"/>
  </r>
  <r>
    <s v="Tópico 3"/>
    <s v="ER1"/>
    <x v="0"/>
    <n v="5"/>
    <n v="5"/>
    <n v="0"/>
    <n v="100"/>
    <n v="0"/>
    <s v="Tópico 3 ER1 P1: 5/5 execuções falharam (100,0%),"/>
  </r>
  <r>
    <s v="Tópico 3"/>
    <s v="ER1"/>
    <x v="1"/>
    <n v="5"/>
    <n v="4"/>
    <n v="1"/>
    <n v="80"/>
    <n v="20"/>
    <s v="Tópico 3 ER1 P2: 4/5 execuções falharam (80,0%),"/>
  </r>
  <r>
    <s v="Tópico 3"/>
    <s v="ER1"/>
    <x v="2"/>
    <n v="5"/>
    <n v="3"/>
    <n v="2"/>
    <n v="60"/>
    <n v="40"/>
    <s v="Tópico 3 ER1 P3: 3/5 execuções falharam (60,0%),"/>
  </r>
  <r>
    <s v="Tópico 3"/>
    <s v="ER1"/>
    <x v="3"/>
    <n v="5"/>
    <n v="0"/>
    <n v="5"/>
    <n v="0"/>
    <n v="100"/>
    <s v="Tópico 3 ER1 P4: 0/5 execuções falharam (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0"/>
    <n v="5"/>
    <n v="0"/>
    <n v="100"/>
    <s v="Tópico 3 ER2 P2: 0/5 execuções falharam (0,0%),"/>
  </r>
  <r>
    <s v="Tópico 3"/>
    <s v="ER2"/>
    <x v="2"/>
    <n v="5"/>
    <n v="1"/>
    <n v="4"/>
    <n v="20"/>
    <n v="80"/>
    <s v="Tópico 3 ER2 P3: 1/5 execuções falharam (2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5"/>
    <n v="0"/>
    <n v="100"/>
    <n v="0"/>
    <s v="Tópico 3 PA1 P1: 5/5 execuções falharam (100,0%),"/>
  </r>
  <r>
    <s v="Tópico 3"/>
    <s v="PA1"/>
    <x v="1"/>
    <n v="5"/>
    <n v="0"/>
    <n v="5"/>
    <n v="0"/>
    <n v="100"/>
    <s v="Tópico 3 PA1 P2: 0/5 execuções falharam (0,0%),"/>
  </r>
  <r>
    <s v="Tópico 3"/>
    <s v="PA1"/>
    <x v="2"/>
    <n v="5"/>
    <n v="0"/>
    <n v="5"/>
    <n v="0"/>
    <n v="100"/>
    <s v="Tópico 3 PA1 P3: 0/5 execuções falharam (0,0%),"/>
  </r>
  <r>
    <s v="Tópico 3"/>
    <s v="PA1"/>
    <x v="3"/>
    <n v="5"/>
    <n v="3"/>
    <n v="2"/>
    <n v="60"/>
    <n v="40"/>
    <s v="Tópico 3 PA1 P4: 3/5 execuções falharam (60,0%),"/>
  </r>
  <r>
    <s v="Tópico 3"/>
    <s v="PA2"/>
    <x v="0"/>
    <n v="5"/>
    <n v="0"/>
    <n v="5"/>
    <n v="0"/>
    <n v="100"/>
    <s v="Tópico 3 PA2 P1: 0/5 execuções falharam (0,0%),"/>
  </r>
  <r>
    <s v="Tópico 3"/>
    <s v="PA2"/>
    <x v="1"/>
    <n v="5"/>
    <n v="2"/>
    <n v="3"/>
    <n v="40"/>
    <n v="60"/>
    <s v="Tópico 3 PA2 P2: 2/5 execuções falharam (40,0%),"/>
  </r>
  <r>
    <s v="Tópico 3"/>
    <s v="PA2"/>
    <x v="2"/>
    <n v="5"/>
    <n v="0"/>
    <n v="5"/>
    <n v="0"/>
    <n v="100"/>
    <s v="Tópico 3 PA2 P3: 0/5 execuções falharam (0,0%),"/>
  </r>
  <r>
    <s v="Tópico 3"/>
    <s v="PA2"/>
    <x v="3"/>
    <n v="5"/>
    <n v="1"/>
    <n v="4"/>
    <n v="20"/>
    <n v="80"/>
    <s v="Tópico 3 PA2 P4: 1/5 execuções falharam (20,0%),"/>
  </r>
  <r>
    <s v="Tópico 4"/>
    <s v="ER1"/>
    <x v="0"/>
    <n v="5"/>
    <n v="4"/>
    <n v="1"/>
    <n v="80"/>
    <n v="20"/>
    <s v="Tópico 4 ER1 P1: 4/5 execuções falharam (80,0%),"/>
  </r>
  <r>
    <s v="Tópico 4"/>
    <s v="ER1"/>
    <x v="1"/>
    <n v="5"/>
    <n v="0"/>
    <n v="5"/>
    <n v="0"/>
    <n v="100"/>
    <s v="Tópico 4 ER1 P2: 0/5 execuções falharam (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1"/>
    <n v="4"/>
    <n v="20"/>
    <n v="80"/>
    <s v="Tópico 4 ER1 P4: 1/5 execuções falharam (20,0%),"/>
  </r>
  <r>
    <s v="Tópico 4"/>
    <s v="ER2"/>
    <x v="0"/>
    <n v="5"/>
    <n v="2"/>
    <n v="3"/>
    <n v="40"/>
    <n v="60"/>
    <s v="Tópico 4 ER2 P1: 2/5 execuções falharam (40,0%),"/>
  </r>
  <r>
    <s v="Tópico 4"/>
    <s v="ER2"/>
    <x v="1"/>
    <n v="5"/>
    <n v="1"/>
    <n v="4"/>
    <n v="20"/>
    <n v="80"/>
    <s v="Tópico 4 ER2 P2: 1/5 execuções falharam (2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1"/>
    <n v="4"/>
    <n v="20"/>
    <n v="80"/>
    <s v="Tópico 4 ER2 P4: 1/5 execuções falharam (20,0%),"/>
  </r>
  <r>
    <s v="Tópico 4"/>
    <s v="PA1"/>
    <x v="0"/>
    <n v="5"/>
    <n v="1"/>
    <n v="4"/>
    <n v="20"/>
    <n v="80"/>
    <s v="Tópico 4 PA1 P1: 1/5 execuções falharam (20,0%),"/>
  </r>
  <r>
    <s v="Tópico 4"/>
    <s v="PA1"/>
    <x v="1"/>
    <n v="5"/>
    <n v="0"/>
    <n v="5"/>
    <n v="0"/>
    <n v="100"/>
    <s v="Tópico 4 PA1 P2: 0/5 execuções falharam (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4"/>
    <n v="1"/>
    <n v="80"/>
    <n v="20"/>
    <s v="Tópico 4 PA1 P4: 4/5 execuções falharam (80,0%),"/>
  </r>
  <r>
    <s v="Tópico 4"/>
    <s v="PA2"/>
    <x v="0"/>
    <n v="5"/>
    <n v="2"/>
    <n v="3"/>
    <n v="40"/>
    <n v="60"/>
    <s v="Tópico 4 PA2 P1: 2/5 execuções falharam (40,0%),"/>
  </r>
  <r>
    <s v="Tópico 4"/>
    <s v="PA2"/>
    <x v="1"/>
    <n v="5"/>
    <n v="1"/>
    <n v="4"/>
    <n v="20"/>
    <n v="80"/>
    <s v="Tópico 4 PA2 P2: 1/5 execuções falharam (20,0%),"/>
  </r>
  <r>
    <s v="Tópico 4"/>
    <s v="PA2"/>
    <x v="2"/>
    <n v="5"/>
    <n v="0"/>
    <n v="5"/>
    <n v="0"/>
    <n v="100"/>
    <s v="Tópico 4 PA2 P3: 0/5 execuções falharam (0,0%),"/>
  </r>
  <r>
    <s v="Tópico 4"/>
    <s v="PA2"/>
    <x v="3"/>
    <n v="5"/>
    <n v="1"/>
    <n v="4"/>
    <n v="20"/>
    <n v="80"/>
    <s v="Tópico 4 PA2 P4: 1/5 execuções falharam (20,0%),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1"/>
    <n v="4"/>
    <n v="20"/>
    <n v="80"/>
    <n v="20"/>
  </r>
  <r>
    <s v="Tópico 5"/>
    <s v="Cifra_Hibrida"/>
    <x v="0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Hibrida"/>
    <x v="0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Cifra_Hibrid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0"/>
    <s v="PA2"/>
    <s v="PA"/>
    <n v="2"/>
    <s v="Gestão inadequada dos ficheiros produzidos durante a cifra ou decifra,"/>
    <n v="5"/>
    <n v="1"/>
    <n v="4"/>
    <n v="20"/>
    <n v="80"/>
    <n v="20"/>
  </r>
  <r>
    <s v="Tópico 5"/>
    <s v="Cifra_Hibrida"/>
    <x v="1"/>
    <s v="ER1"/>
    <s v="ER"/>
    <n v="3"/>
    <s v="Geração insegura de chaves criptográficas ou chave com tamanho incorreto,"/>
    <n v="5"/>
    <n v="2"/>
    <n v="3"/>
    <n v="40"/>
    <n v="60"/>
    <n v="40"/>
  </r>
  <r>
    <s v="Tópico 5"/>
    <s v="Cifra_Hibrida"/>
    <x v="1"/>
    <s v="ER2"/>
    <s v="ER"/>
    <n v="3"/>
    <s v="Utilização incorreta de algoritmos, modos de operação ou bibliotecas criptográficas,"/>
    <n v="5"/>
    <n v="2"/>
    <n v="3"/>
    <n v="40"/>
    <n v="60"/>
    <n v="40"/>
  </r>
  <r>
    <s v="Tópico 5"/>
    <s v="Cifra_Hibrida"/>
    <x v="1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Cifra_Hibrida"/>
    <x v="1"/>
    <s v="PA1"/>
    <s v="PA"/>
    <n v="3"/>
    <s v="Armazenamento ou exposição insegura de chaves criptográficas,"/>
    <n v="5"/>
    <n v="4"/>
    <n v="1"/>
    <n v="80"/>
    <n v="20"/>
    <n v="80"/>
  </r>
  <r>
    <s v="Tópico 5"/>
    <s v="Cifra_Hibrida"/>
    <x v="1"/>
    <s v="PA2"/>
    <s v="PA"/>
    <n v="2"/>
    <s v="Gestão inadequada dos ficheiros produzidos durante a cifra ou decifra,"/>
    <n v="5"/>
    <n v="3"/>
    <n v="2"/>
    <n v="60"/>
    <n v="40"/>
    <n v="60"/>
  </r>
  <r>
    <s v="Tópico 5"/>
    <s v="Cifra_Hibrida"/>
    <x v="2"/>
    <s v="ER1"/>
    <s v="ER"/>
    <n v="3"/>
    <s v="Geração insegura de chaves criptográficas ou chave com tamanho incorreto,"/>
    <n v="5"/>
    <n v="0"/>
    <n v="5"/>
    <n v="0"/>
    <n v="100"/>
    <n v="0"/>
  </r>
  <r>
    <s v="Tópico 5"/>
    <s v="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Cifra_Hibrida"/>
    <x v="2"/>
    <s v="ER3"/>
    <s v="ER"/>
    <n v="3"/>
    <s v="Ausência ou implementação incorreta de criptografia híbrida quando aplicável,"/>
    <n v="5"/>
    <n v="5"/>
    <n v="0"/>
    <n v="100"/>
    <n v="0"/>
    <n v="100"/>
  </r>
  <r>
    <s v="Tópico 5"/>
    <s v="Cifra_Hibrida"/>
    <x v="2"/>
    <s v="PA1"/>
    <s v="PA"/>
    <n v="3"/>
    <s v="Armazenamento ou exposição insegura de chaves criptográficas,"/>
    <n v="5"/>
    <n v="0"/>
    <n v="5"/>
    <n v="0"/>
    <n v="100"/>
    <n v="0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Hibrida"/>
    <x v="3"/>
    <s v="ER1"/>
    <s v="ER"/>
    <n v="3"/>
    <s v="Geração insegura de chaves criptográficas ou chave com tamanho incorreto,"/>
    <n v="5"/>
    <n v="4"/>
    <n v="1"/>
    <n v="80"/>
    <n v="20"/>
    <n v="80"/>
  </r>
  <r>
    <s v="Tópico 5"/>
    <s v="Cifra_Hibrid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Cifra_Hibrida"/>
    <x v="3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Cifra_Hibrida"/>
    <x v="3"/>
    <s v="PA1"/>
    <s v="PA"/>
    <n v="3"/>
    <s v="Armazenamento ou exposição insegura de chaves criptográficas,"/>
    <n v="5"/>
    <n v="4"/>
    <n v="1"/>
    <n v="80"/>
    <n v="20"/>
    <n v="80"/>
  </r>
  <r>
    <s v="Tópico 5"/>
    <s v="Cifra_Hibrida"/>
    <x v="3"/>
    <s v="PA2"/>
    <s v="PA"/>
    <n v="2"/>
    <s v="Gestão inadequada dos ficheiros produzidos durante a cifra ou decifra,"/>
    <n v="5"/>
    <n v="4"/>
    <n v="1"/>
    <n v="80"/>
    <n v="20"/>
    <n v="80"/>
  </r>
  <r>
    <s v="Tópico 5"/>
    <s v="Cifra_Simetrica"/>
    <x v="0"/>
    <s v="ER1"/>
    <s v="ER"/>
    <n v="3"/>
    <s v="Geração insegura de chaves criptográficas ou chave com tamanho incorreto,"/>
    <n v="5"/>
    <n v="4"/>
    <n v="1"/>
    <n v="80"/>
    <n v="20"/>
    <n v="80"/>
  </r>
  <r>
    <s v="Tópico 5"/>
    <s v="Cifra_Simetrica"/>
    <x v="0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Cifra_Simetric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0"/>
    <s v="PA2"/>
    <s v="PA"/>
    <n v="2"/>
    <s v="Gestão inadequada dos ficheiros produzidos durante a cifra ou decifra,"/>
    <n v="5"/>
    <n v="4"/>
    <n v="1"/>
    <n v="80"/>
    <n v="20"/>
    <n v="80"/>
  </r>
  <r>
    <s v="Tópico 5"/>
    <s v="Cifra_Simetrica"/>
    <x v="1"/>
    <s v="ER1"/>
    <s v="ER"/>
    <n v="3"/>
    <s v="Geração insegura de chaves criptográficas ou chave com tamanho incorreto,"/>
    <n v="5"/>
    <n v="4"/>
    <n v="1"/>
    <n v="80"/>
    <n v="20"/>
    <n v="80"/>
  </r>
  <r>
    <s v="Tópico 5"/>
    <s v="Cifra_Simetrica"/>
    <x v="1"/>
    <s v="ER2"/>
    <s v="ER"/>
    <n v="3"/>
    <s v="Utilização incorreta de algoritmos, modos de operação ou bibliotecas criptográficas,"/>
    <n v="5"/>
    <n v="3"/>
    <n v="2"/>
    <n v="60"/>
    <n v="40"/>
    <n v="60"/>
  </r>
  <r>
    <s v="Tópico 5"/>
    <s v="Cifra_Simetric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2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Simetrica"/>
    <x v="2"/>
    <s v="ER2"/>
    <s v="ER"/>
    <n v="3"/>
    <s v="Utilização incorreta de algoritmos, modos de operação ou bibliotecas criptográficas,"/>
    <n v="5"/>
    <n v="4"/>
    <n v="1"/>
    <n v="80"/>
    <n v="20"/>
    <n v="80"/>
  </r>
  <r>
    <s v="Tópico 5"/>
    <s v="Cifra_Simetrica"/>
    <x v="2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3"/>
    <s v="ER1"/>
    <s v="ER"/>
    <n v="3"/>
    <s v="Geração insegura de chaves criptográficas ou chave com tamanho incorreto,"/>
    <n v="5"/>
    <n v="2"/>
    <n v="3"/>
    <n v="40"/>
    <n v="60"/>
    <n v="40"/>
  </r>
  <r>
    <s v="Tópico 5"/>
    <s v="Cifra_Simetrica"/>
    <x v="3"/>
    <s v="ER2"/>
    <s v="ER"/>
    <n v="3"/>
    <s v="Utilização incorreta de algoritmos, modos de operação ou bibliotecas criptográficas,"/>
    <n v="5"/>
    <n v="3"/>
    <n v="2"/>
    <n v="60"/>
    <n v="40"/>
    <n v="60"/>
  </r>
  <r>
    <s v="Tópico 5"/>
    <s v="Cifra_Simetric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3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0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0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Decifra_Hibrid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0"/>
    <s v="PA2"/>
    <s v="PA"/>
    <n v="2"/>
    <s v="Gestão inadequada dos ficheiros produzidos durante a cifra ou decifra,"/>
    <n v="5"/>
    <n v="0"/>
    <n v="5"/>
    <n v="0"/>
    <n v="100"/>
    <n v="0"/>
  </r>
  <r>
    <s v="Tópico 5"/>
    <s v="Decifra_Hibrida"/>
    <x v="1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1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Decifra_Hibrid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1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Decifra_Hibrida"/>
    <x v="2"/>
    <s v="ER3"/>
    <s v="ER"/>
    <n v="3"/>
    <s v="Ausência ou implementação incorreta de criptografia híbrida quando aplicável,"/>
    <n v="5"/>
    <n v="5"/>
    <n v="0"/>
    <n v="100"/>
    <n v="0"/>
    <n v="100"/>
  </r>
  <r>
    <s v="Tópico 5"/>
    <s v="Decifra_Hibrida"/>
    <x v="2"/>
    <s v="PA1"/>
    <s v="PA"/>
    <n v="3"/>
    <s v="Armazenamento ou exposição insegura de chaves criptográficas,"/>
    <n v="5"/>
    <n v="0"/>
    <n v="5"/>
    <n v="0"/>
    <n v="100"/>
    <n v="0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3"/>
    <s v="ER3"/>
    <s v="ER"/>
    <n v="3"/>
    <s v="Ausência ou implementação incorreta de criptografia híbrida quando aplicável,"/>
    <n v="5"/>
    <n v="2"/>
    <n v="3"/>
    <n v="40"/>
    <n v="60"/>
    <n v="40"/>
  </r>
  <r>
    <s v="Tópico 5"/>
    <s v="Decifra_Hibrid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3"/>
    <s v="PA2"/>
    <s v="PA"/>
    <n v="2"/>
    <s v="Gestão inadequada dos ficheiros produzidos durante a cifra ou decifra,"/>
    <n v="5"/>
    <n v="5"/>
    <n v="0"/>
    <n v="100"/>
    <n v="0"/>
    <n v="1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2"/>
    <n v="3"/>
    <n v="40"/>
    <n v="60"/>
    <s v="Tópico 1 ER1 P1: 2/5 execuções falharam (4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5"/>
    <n v="0"/>
    <n v="100"/>
    <n v="0"/>
    <s v="Tópico 1 ER2 P1: 5/5 execuções falharam (100,0%),"/>
  </r>
  <r>
    <s v="Tópico 1"/>
    <s v="ER2"/>
    <x v="1"/>
    <n v="5"/>
    <n v="5"/>
    <n v="0"/>
    <n v="100"/>
    <n v="0"/>
    <s v="Tópico 1 ER2 P2: 5/5 execuções falharam (10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1"/>
    <n v="4"/>
    <n v="20"/>
    <n v="80"/>
    <s v="Tópico 1 ER2 P4: 1/5 execuções falharam (20,0%),"/>
  </r>
  <r>
    <s v="Tópico 1"/>
    <s v="ER3"/>
    <x v="0"/>
    <n v="5"/>
    <n v="5"/>
    <n v="0"/>
    <n v="100"/>
    <n v="0"/>
    <s v="Tópico 1 ER3 P1: 5/5 execuções falharam (100,0%),"/>
  </r>
  <r>
    <s v="Tópico 1"/>
    <s v="ER3"/>
    <x v="1"/>
    <n v="5"/>
    <n v="3"/>
    <n v="2"/>
    <n v="60"/>
    <n v="40"/>
    <s v="Tópico 1 ER3 P2: 3/5 execuções falharam (60,0%),"/>
  </r>
  <r>
    <s v="Tópico 1"/>
    <s v="ER3"/>
    <x v="2"/>
    <n v="5"/>
    <n v="1"/>
    <n v="4"/>
    <n v="20"/>
    <n v="80"/>
    <s v="Tópico 1 ER3 P3: 1/5 execuções falharam (20,0%),"/>
  </r>
  <r>
    <s v="Tópico 1"/>
    <s v="ER3"/>
    <x v="3"/>
    <n v="5"/>
    <n v="4"/>
    <n v="1"/>
    <n v="80"/>
    <n v="20"/>
    <s v="Tópico 1 ER3 P4: 4/5 execuções falharam (8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0"/>
    <n v="5"/>
    <n v="0"/>
    <n v="100"/>
    <s v="Tópico 1 PA1 P2: 0/5 execuções falharam (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2"/>
    <n v="3"/>
    <n v="40"/>
    <n v="60"/>
    <s v="Tópico 1 PA1 P4: 2/5 execuções falharam (40,0%),"/>
  </r>
  <r>
    <s v="Tópico 1"/>
    <s v="PA2"/>
    <x v="0"/>
    <n v="5"/>
    <n v="0"/>
    <n v="5"/>
    <n v="0"/>
    <n v="100"/>
    <s v="Tópico 1 PA2 P1: 0/5 execuções falharam (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5"/>
    <n v="0"/>
    <n v="100"/>
    <n v="0"/>
    <s v="Tópico 2 ER1 P1: 5/5 execuções falharam (100,0%),"/>
  </r>
  <r>
    <s v="Tópico 2"/>
    <s v="ER1"/>
    <x v="1"/>
    <n v="5"/>
    <n v="2"/>
    <n v="3"/>
    <n v="40"/>
    <n v="60"/>
    <s v="Tópico 2 ER1 P2: 2/5 execuções falharam (4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3"/>
    <n v="2"/>
    <n v="60"/>
    <n v="40"/>
    <s v="Tópico 2 ER1 P4: 3/5 execuções falharam (60,0%),"/>
  </r>
  <r>
    <s v="Tópico 2"/>
    <s v="ER2"/>
    <x v="0"/>
    <n v="5"/>
    <n v="5"/>
    <n v="0"/>
    <n v="100"/>
    <n v="0"/>
    <s v="Tópico 2 ER2 P1: 5/5 execuções falharam (100,0%),"/>
  </r>
  <r>
    <s v="Tópico 2"/>
    <s v="ER2"/>
    <x v="1"/>
    <n v="5"/>
    <n v="5"/>
    <n v="0"/>
    <n v="100"/>
    <n v="0"/>
    <s v="Tópico 2 ER2 P2: 5/5 execuções falharam (10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5"/>
    <n v="0"/>
    <n v="100"/>
    <n v="0"/>
    <s v="Tópico 2 ER2 P4: 5/5 execuções falharam (10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0"/>
    <n v="5"/>
    <n v="0"/>
    <n v="100"/>
    <s v="Tópico 2 PA1 P2: 0/5 execuções falharam (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1"/>
    <n v="4"/>
    <n v="20"/>
    <n v="80"/>
    <s v="Tópico 2 PA1 P4: 1/5 execuções falharam (20,0%),"/>
  </r>
  <r>
    <s v="Tópico 2"/>
    <s v="PA2"/>
    <x v="0"/>
    <n v="5"/>
    <n v="4"/>
    <n v="1"/>
    <n v="80"/>
    <n v="20"/>
    <s v="Tópico 2 PA2 P1: 4/5 execuções falharam (80,0%),"/>
  </r>
  <r>
    <s v="Tópico 2"/>
    <s v="PA2"/>
    <x v="1"/>
    <n v="5"/>
    <n v="0"/>
    <n v="5"/>
    <n v="0"/>
    <n v="100"/>
    <s v="Tópico 2 PA2 P2: 0/5 execuções falharam (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2"/>
    <n v="3"/>
    <n v="40"/>
    <n v="60"/>
    <s v="Tópico 2 PA2 P4: 2/5 execuções falharam (40,0%),"/>
  </r>
  <r>
    <s v="Tópico 3"/>
    <s v="ER1"/>
    <x v="0"/>
    <n v="5"/>
    <n v="3"/>
    <n v="2"/>
    <n v="60"/>
    <n v="40"/>
    <s v="Tópico 3 ER1 P1: 3/5 execuções falharam (60,0%),"/>
  </r>
  <r>
    <s v="Tópico 3"/>
    <s v="ER1"/>
    <x v="1"/>
    <n v="5"/>
    <n v="2"/>
    <n v="3"/>
    <n v="40"/>
    <n v="60"/>
    <s v="Tópico 3 ER1 P2: 2/5 execuções falharam (40,0%),"/>
  </r>
  <r>
    <s v="Tópico 3"/>
    <s v="ER1"/>
    <x v="2"/>
    <n v="5"/>
    <n v="4"/>
    <n v="1"/>
    <n v="80"/>
    <n v="20"/>
    <s v="Tópico 3 ER1 P3: 4/5 execuções falharam (80,0%),"/>
  </r>
  <r>
    <s v="Tópico 3"/>
    <s v="ER1"/>
    <x v="3"/>
    <n v="5"/>
    <n v="2"/>
    <n v="3"/>
    <n v="40"/>
    <n v="60"/>
    <s v="Tópico 3 ER1 P4: 2/5 execuções falharam (4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0"/>
    <n v="5"/>
    <n v="0"/>
    <n v="100"/>
    <s v="Tópico 3 ER2 P2: 0/5 execuções falharam (0,0%),"/>
  </r>
  <r>
    <s v="Tópico 3"/>
    <s v="ER2"/>
    <x v="2"/>
    <n v="5"/>
    <n v="2"/>
    <n v="3"/>
    <n v="40"/>
    <n v="60"/>
    <s v="Tópico 3 ER2 P3: 2/5 execuções falharam (4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4"/>
    <n v="1"/>
    <n v="80"/>
    <n v="20"/>
    <s v="Tópico 3 PA1 P1: 4/5 execuções falharam (80,0%),"/>
  </r>
  <r>
    <s v="Tópico 3"/>
    <s v="PA1"/>
    <x v="1"/>
    <n v="5"/>
    <n v="1"/>
    <n v="4"/>
    <n v="20"/>
    <n v="80"/>
    <s v="Tópico 3 PA1 P2: 1/5 execuções falharam (20,0%),"/>
  </r>
  <r>
    <s v="Tópico 3"/>
    <s v="PA1"/>
    <x v="2"/>
    <n v="5"/>
    <n v="1"/>
    <n v="4"/>
    <n v="20"/>
    <n v="80"/>
    <s v="Tópico 3 PA1 P3: 1/5 execuções falharam (20,0%),"/>
  </r>
  <r>
    <s v="Tópico 3"/>
    <s v="PA1"/>
    <x v="3"/>
    <n v="5"/>
    <n v="1"/>
    <n v="4"/>
    <n v="20"/>
    <n v="80"/>
    <s v="Tópico 3 PA1 P4: 1/5 execuções falharam (20,0%),"/>
  </r>
  <r>
    <s v="Tópico 3"/>
    <s v="PA2"/>
    <x v="0"/>
    <n v="5"/>
    <n v="0"/>
    <n v="5"/>
    <n v="0"/>
    <n v="100"/>
    <s v="Tópico 3 PA2 P1: 0/5 execuções falharam (0,0%),"/>
  </r>
  <r>
    <s v="Tópico 3"/>
    <s v="PA2"/>
    <x v="1"/>
    <n v="5"/>
    <n v="3"/>
    <n v="2"/>
    <n v="60"/>
    <n v="40"/>
    <s v="Tópico 3 PA2 P2: 3/5 execuções falharam (60,0%),"/>
  </r>
  <r>
    <s v="Tópico 3"/>
    <s v="PA2"/>
    <x v="2"/>
    <n v="5"/>
    <n v="0"/>
    <n v="5"/>
    <n v="0"/>
    <n v="100"/>
    <s v="Tópico 3 PA2 P3: 0/5 execuções falharam (0,0%),"/>
  </r>
  <r>
    <s v="Tópico 3"/>
    <s v="PA2"/>
    <x v="3"/>
    <n v="5"/>
    <n v="0"/>
    <n v="5"/>
    <n v="0"/>
    <n v="100"/>
    <s v="Tópico 3 PA2 P4: 0/5 execuções falharam (0,0%),"/>
  </r>
  <r>
    <s v="Tópico 4"/>
    <s v="ER1"/>
    <x v="0"/>
    <n v="5"/>
    <n v="4"/>
    <n v="1"/>
    <n v="80"/>
    <n v="20"/>
    <s v="Tópico 4 ER1 P1: 4/5 execuções falharam (80,0%),"/>
  </r>
  <r>
    <s v="Tópico 4"/>
    <s v="ER1"/>
    <x v="1"/>
    <n v="5"/>
    <n v="1"/>
    <n v="4"/>
    <n v="20"/>
    <n v="80"/>
    <s v="Tópico 4 ER1 P2: 1/5 execuções falharam (2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1"/>
    <n v="4"/>
    <n v="20"/>
    <n v="80"/>
    <s v="Tópico 4 ER1 P4: 1/5 execuções falharam (20,0%),"/>
  </r>
  <r>
    <s v="Tópico 4"/>
    <s v="ER2"/>
    <x v="0"/>
    <n v="5"/>
    <n v="2"/>
    <n v="3"/>
    <n v="40"/>
    <n v="60"/>
    <s v="Tópico 4 ER2 P1: 2/5 execuções falharam (40,0%),"/>
  </r>
  <r>
    <s v="Tópico 4"/>
    <s v="ER2"/>
    <x v="1"/>
    <n v="5"/>
    <n v="1"/>
    <n v="4"/>
    <n v="20"/>
    <n v="80"/>
    <s v="Tópico 4 ER2 P2: 1/5 execuções falharam (2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0"/>
    <n v="5"/>
    <n v="0"/>
    <n v="100"/>
    <s v="Tópico 4 ER2 P4: 0/5 execuções falharam (0,0%),"/>
  </r>
  <r>
    <s v="Tópico 4"/>
    <s v="PA1"/>
    <x v="0"/>
    <n v="5"/>
    <n v="3"/>
    <n v="2"/>
    <n v="60"/>
    <n v="40"/>
    <s v="Tópico 4 PA1 P1: 3/5 execuções falharam (60,0%),"/>
  </r>
  <r>
    <s v="Tópico 4"/>
    <s v="PA1"/>
    <x v="1"/>
    <n v="5"/>
    <n v="0"/>
    <n v="5"/>
    <n v="0"/>
    <n v="100"/>
    <s v="Tópico 4 PA1 P2: 0/5 execuções falharam (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1"/>
    <n v="4"/>
    <n v="20"/>
    <n v="80"/>
    <s v="Tópico 4 PA1 P4: 1/5 execuções falharam (20,0%),"/>
  </r>
  <r>
    <s v="Tópico 4"/>
    <s v="PA2"/>
    <x v="0"/>
    <n v="5"/>
    <n v="3"/>
    <n v="2"/>
    <n v="60"/>
    <n v="40"/>
    <s v="Tópico 4 PA2 P1: 3/5 execuções falharam (60,0%),"/>
  </r>
  <r>
    <s v="Tópico 4"/>
    <s v="PA2"/>
    <x v="1"/>
    <n v="5"/>
    <n v="1"/>
    <n v="4"/>
    <n v="20"/>
    <n v="80"/>
    <s v="Tópico 4 PA2 P2: 1/5 execuções falharam (20,0%),"/>
  </r>
  <r>
    <s v="Tópico 4"/>
    <s v="PA2"/>
    <x v="2"/>
    <n v="5"/>
    <n v="1"/>
    <n v="4"/>
    <n v="20"/>
    <n v="80"/>
    <s v="Tópico 4 PA2 P3: 1/5 execuções falharam (20,0%),"/>
  </r>
  <r>
    <s v="Tópico 4"/>
    <s v="PA2"/>
    <x v="3"/>
    <n v="5"/>
    <n v="1"/>
    <n v="4"/>
    <n v="20"/>
    <n v="80"/>
    <s v="Tópico 4 PA2 P4: 1/5 execuções falharam (20,0%),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1"/>
    <n v="4"/>
    <n v="20"/>
    <n v="80"/>
    <n v="20"/>
  </r>
  <r>
    <s v="Tópico 5"/>
    <s v="Cifra_Hibrida"/>
    <x v="0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Hibrida"/>
    <x v="0"/>
    <s v="ER3"/>
    <s v="ER"/>
    <n v="3"/>
    <s v="Ausência ou implementação incorreta de criptografia híbrida quando aplicável,"/>
    <n v="5"/>
    <n v="0"/>
    <n v="5"/>
    <n v="0"/>
    <n v="100"/>
    <n v="0"/>
  </r>
  <r>
    <s v="Tópico 5"/>
    <s v="Cifra_Hibrida"/>
    <x v="0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0"/>
    <s v="PA2"/>
    <s v="PA"/>
    <n v="2"/>
    <s v="Gestão inadequada dos ficheiros produzidos durante a cifra ou decifra,"/>
    <n v="5"/>
    <n v="2"/>
    <n v="3"/>
    <n v="40"/>
    <n v="60"/>
    <n v="40"/>
  </r>
  <r>
    <s v="Tópico 5"/>
    <s v="Cifra_Hibrida"/>
    <x v="1"/>
    <s v="ER1"/>
    <s v="ER"/>
    <n v="3"/>
    <s v="Geração insegura de chaves criptográficas ou chave com tamanho incorreto,"/>
    <n v="5"/>
    <n v="1"/>
    <n v="4"/>
    <n v="20"/>
    <n v="80"/>
    <n v="20"/>
  </r>
  <r>
    <s v="Tópico 5"/>
    <s v="Cifra_Hibrida"/>
    <x v="1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Cifra_Hibrida"/>
    <x v="1"/>
    <s v="ER3"/>
    <s v="ER"/>
    <n v="3"/>
    <s v="Ausência ou implementação incorreta de criptografia híbrida quando aplicável,"/>
    <n v="5"/>
    <n v="1"/>
    <n v="4"/>
    <n v="20"/>
    <n v="80"/>
    <n v="20"/>
  </r>
  <r>
    <s v="Tópico 5"/>
    <s v="Cifra_Hibrid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1"/>
    <s v="PA2"/>
    <s v="PA"/>
    <n v="2"/>
    <s v="Gestão inadequada dos ficheiros produzidos durante a cifra ou decifra,"/>
    <n v="5"/>
    <n v="3"/>
    <n v="2"/>
    <n v="60"/>
    <n v="40"/>
    <n v="60"/>
  </r>
  <r>
    <s v="Tópico 5"/>
    <s v="Cifra_Hibrida"/>
    <x v="2"/>
    <s v="ER1"/>
    <s v="ER"/>
    <n v="3"/>
    <s v="Geração insegura de chaves criptográficas ou chave com tamanho incorreto,"/>
    <n v="5"/>
    <n v="0"/>
    <n v="5"/>
    <n v="0"/>
    <n v="100"/>
    <n v="0"/>
  </r>
  <r>
    <s v="Tópico 5"/>
    <s v="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Cifra_Hibrida"/>
    <x v="2"/>
    <s v="ER3"/>
    <s v="ER"/>
    <n v="3"/>
    <s v="Ausência ou implementação incorreta de criptografia híbrida quando aplicável,"/>
    <n v="5"/>
    <n v="5"/>
    <n v="0"/>
    <n v="100"/>
    <n v="0"/>
    <n v="100"/>
  </r>
  <r>
    <s v="Tópico 5"/>
    <s v="Cifra_Hibrida"/>
    <x v="2"/>
    <s v="PA1"/>
    <s v="PA"/>
    <n v="3"/>
    <s v="Armazenamento ou exposição insegura de chaves criptográficas,"/>
    <n v="5"/>
    <n v="0"/>
    <n v="5"/>
    <n v="0"/>
    <n v="100"/>
    <n v="0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Hibrida"/>
    <x v="3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Hibrid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Cifra_Hibrida"/>
    <x v="3"/>
    <s v="ER3"/>
    <s v="ER"/>
    <n v="3"/>
    <s v="Ausência ou implementação incorreta de criptografia híbrida quando aplicável,"/>
    <n v="5"/>
    <n v="2"/>
    <n v="3"/>
    <n v="40"/>
    <n v="60"/>
    <n v="40"/>
  </r>
  <r>
    <s v="Tópico 5"/>
    <s v="Cifra_Hibrid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Cifra_Hibrida"/>
    <x v="3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0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Simetrica"/>
    <x v="0"/>
    <s v="ER2"/>
    <s v="ER"/>
    <n v="3"/>
    <s v="Utilização incorreta de algoritmos, modos de operação ou bibliotecas criptográficas,"/>
    <n v="5"/>
    <n v="2"/>
    <n v="3"/>
    <n v="40"/>
    <n v="60"/>
    <n v="40"/>
  </r>
  <r>
    <s v="Tópico 5"/>
    <s v="Cifra_Simetrica"/>
    <x v="0"/>
    <s v="PA1"/>
    <s v="PA"/>
    <n v="3"/>
    <s v="Armazenamento ou exposição insegura de chaves criptográficas,"/>
    <n v="5"/>
    <n v="3"/>
    <n v="2"/>
    <n v="60"/>
    <n v="40"/>
    <n v="60"/>
  </r>
  <r>
    <s v="Tópico 5"/>
    <s v="Cifra_Simetrica"/>
    <x v="0"/>
    <s v="PA2"/>
    <s v="PA"/>
    <n v="2"/>
    <s v="Gestão inadequada dos ficheiros produzidos durante a cifra ou decifra,"/>
    <n v="5"/>
    <n v="3"/>
    <n v="2"/>
    <n v="60"/>
    <n v="40"/>
    <n v="60"/>
  </r>
  <r>
    <s v="Tópico 5"/>
    <s v="Cifra_Simetrica"/>
    <x v="1"/>
    <s v="ER1"/>
    <s v="ER"/>
    <n v="3"/>
    <s v="Geração insegura de chaves criptográficas ou chave com tamanho incorreto,"/>
    <n v="5"/>
    <n v="2"/>
    <n v="3"/>
    <n v="40"/>
    <n v="60"/>
    <n v="40"/>
  </r>
  <r>
    <s v="Tópico 5"/>
    <s v="Cifra_Simetrica"/>
    <x v="1"/>
    <s v="ER2"/>
    <s v="ER"/>
    <n v="3"/>
    <s v="Utilização incorreta de algoritmos, modos de operação ou bibliotecas criptográficas,"/>
    <n v="5"/>
    <n v="3"/>
    <n v="2"/>
    <n v="60"/>
    <n v="40"/>
    <n v="60"/>
  </r>
  <r>
    <s v="Tópico 5"/>
    <s v="Cifra_Simetric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2"/>
    <s v="ER1"/>
    <s v="ER"/>
    <n v="3"/>
    <s v="Geração insegura de chaves criptográficas ou chave com tamanho incorreto,"/>
    <n v="5"/>
    <n v="2"/>
    <n v="3"/>
    <n v="40"/>
    <n v="60"/>
    <n v="40"/>
  </r>
  <r>
    <s v="Tópico 5"/>
    <s v="Cifra_Simetrica"/>
    <x v="2"/>
    <s v="ER2"/>
    <s v="ER"/>
    <n v="3"/>
    <s v="Utilização incorreta de algoritmos, modos de operação ou bibliotecas criptográficas,"/>
    <n v="5"/>
    <n v="4"/>
    <n v="1"/>
    <n v="80"/>
    <n v="20"/>
    <n v="80"/>
  </r>
  <r>
    <s v="Tópico 5"/>
    <s v="Cifra_Simetrica"/>
    <x v="2"/>
    <s v="PA1"/>
    <s v="PA"/>
    <n v="3"/>
    <s v="Armazenamento ou exposição insegura de chaves criptográficas,"/>
    <n v="5"/>
    <n v="4"/>
    <n v="1"/>
    <n v="80"/>
    <n v="20"/>
    <n v="80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Cifra_Simetrica"/>
    <x v="3"/>
    <s v="ER1"/>
    <s v="ER"/>
    <n v="3"/>
    <s v="Geração insegura de chaves criptográficas ou chave com tamanho incorreto,"/>
    <n v="5"/>
    <n v="3"/>
    <n v="2"/>
    <n v="60"/>
    <n v="40"/>
    <n v="60"/>
  </r>
  <r>
    <s v="Tópico 5"/>
    <s v="Cifra_Simetrica"/>
    <x v="3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Cifra_Simetrica"/>
    <x v="3"/>
    <s v="PA1"/>
    <s v="PA"/>
    <n v="3"/>
    <s v="Armazenamento ou exposição insegura de chaves criptográficas,"/>
    <n v="5"/>
    <n v="3"/>
    <n v="2"/>
    <n v="60"/>
    <n v="40"/>
    <n v="60"/>
  </r>
  <r>
    <s v="Tópico 5"/>
    <s v="Cifra_Simetrica"/>
    <x v="3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0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Decifra_Hibrida"/>
    <x v="0"/>
    <s v="ER3"/>
    <s v="ER"/>
    <n v="3"/>
    <s v="Ausência ou implementação incorreta de criptografia híbrida quando aplicável,"/>
    <n v="5"/>
    <n v="2"/>
    <n v="3"/>
    <n v="40"/>
    <n v="60"/>
    <n v="40"/>
  </r>
  <r>
    <s v="Tópico 5"/>
    <s v="Decifra_Hibrida"/>
    <x v="0"/>
    <s v="PA1"/>
    <s v="PA"/>
    <n v="3"/>
    <s v="Armazenamento ou exposição insegura de chaves criptográficas,"/>
    <n v="5"/>
    <n v="4"/>
    <n v="1"/>
    <n v="80"/>
    <n v="20"/>
    <n v="80"/>
  </r>
  <r>
    <s v="Tópico 5"/>
    <s v="Decifra_Hibrida"/>
    <x v="0"/>
    <s v="PA2"/>
    <s v="PA"/>
    <n v="2"/>
    <s v="Gestão inadequada dos ficheiros produzidos durante a cifra ou decifra,"/>
    <n v="5"/>
    <n v="0"/>
    <n v="5"/>
    <n v="0"/>
    <n v="100"/>
    <n v="0"/>
  </r>
  <r>
    <s v="Tópico 5"/>
    <s v="Decifra_Hibrida"/>
    <x v="1"/>
    <s v="ER2"/>
    <s v="ER"/>
    <n v="3"/>
    <s v="Utilização incorreta de algoritmos, modos de operação ou bibliotecas criptográficas,"/>
    <n v="5"/>
    <n v="1"/>
    <n v="4"/>
    <n v="20"/>
    <n v="80"/>
    <n v="20"/>
  </r>
  <r>
    <s v="Tópico 5"/>
    <s v="Decifra_Hibrida"/>
    <x v="1"/>
    <s v="ER3"/>
    <s v="ER"/>
    <n v="3"/>
    <s v="Ausência ou implementação incorreta de criptografia híbrida quando aplicável,"/>
    <n v="5"/>
    <n v="3"/>
    <n v="2"/>
    <n v="60"/>
    <n v="40"/>
    <n v="60"/>
  </r>
  <r>
    <s v="Tópico 5"/>
    <s v="Decifra_Hibrida"/>
    <x v="1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1"/>
    <s v="PA2"/>
    <s v="PA"/>
    <n v="2"/>
    <s v="Gestão inadequada dos ficheiros produzidos durante a cifra ou decifra,"/>
    <n v="5"/>
    <n v="4"/>
    <n v="1"/>
    <n v="80"/>
    <n v="20"/>
    <n v="80"/>
  </r>
  <r>
    <s v="Tópico 5"/>
    <s v="Decifra_Hibrida"/>
    <x v="2"/>
    <s v="ER2"/>
    <s v="ER"/>
    <n v="3"/>
    <s v="Utilização incorreta de algoritmos, modos de operação ou bibliotecas criptográficas,"/>
    <n v="5"/>
    <n v="5"/>
    <n v="0"/>
    <n v="100"/>
    <n v="0"/>
    <n v="100"/>
  </r>
  <r>
    <s v="Tópico 5"/>
    <s v="Decifra_Hibrida"/>
    <x v="2"/>
    <s v="ER3"/>
    <s v="ER"/>
    <n v="3"/>
    <s v="Ausência ou implementação incorreta de criptografia híbrida quando aplicável,"/>
    <n v="5"/>
    <n v="5"/>
    <n v="0"/>
    <n v="100"/>
    <n v="0"/>
    <n v="100"/>
  </r>
  <r>
    <s v="Tópico 5"/>
    <s v="Decifra_Hibrida"/>
    <x v="2"/>
    <s v="PA1"/>
    <s v="PA"/>
    <n v="3"/>
    <s v="Armazenamento ou exposição insegura de chaves criptográficas,"/>
    <n v="5"/>
    <n v="0"/>
    <n v="5"/>
    <n v="0"/>
    <n v="100"/>
    <n v="0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</r>
  <r>
    <s v="Tópico 5"/>
    <s v="Decifra_Hibrida"/>
    <x v="3"/>
    <s v="ER2"/>
    <s v="ER"/>
    <n v="3"/>
    <s v="Utilização incorreta de algoritmos, modos de operação ou bibliotecas criptográficas,"/>
    <n v="5"/>
    <n v="0"/>
    <n v="5"/>
    <n v="0"/>
    <n v="100"/>
    <n v="0"/>
  </r>
  <r>
    <s v="Tópico 5"/>
    <s v="Decifra_Hibrida"/>
    <x v="3"/>
    <s v="ER3"/>
    <s v="ER"/>
    <n v="3"/>
    <s v="Ausência ou implementação incorreta de criptografia híbrida quando aplicável,"/>
    <n v="5"/>
    <n v="4"/>
    <n v="1"/>
    <n v="80"/>
    <n v="20"/>
    <n v="80"/>
  </r>
  <r>
    <s v="Tópico 5"/>
    <s v="Decifra_Hibrida"/>
    <x v="3"/>
    <s v="PA1"/>
    <s v="PA"/>
    <n v="3"/>
    <s v="Armazenamento ou exposição insegura de chaves criptográficas,"/>
    <n v="5"/>
    <n v="5"/>
    <n v="0"/>
    <n v="100"/>
    <n v="0"/>
    <n v="100"/>
  </r>
  <r>
    <s v="Tópico 5"/>
    <s v="Decifra_Hibrida"/>
    <x v="3"/>
    <s v="PA2"/>
    <s v="PA"/>
    <n v="2"/>
    <s v="Gestão inadequada dos ficheiros produzidos durante a cifra ou decifra,"/>
    <n v="5"/>
    <n v="5"/>
    <n v="0"/>
    <n v="100"/>
    <n v="0"/>
    <n v="1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1"/>
    <n v="4"/>
    <n v="20"/>
    <n v="80"/>
    <s v="Tópico 1 ER1 P1: 1/5 execuções falharam (2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5"/>
    <n v="0"/>
    <n v="100"/>
    <n v="0"/>
    <s v="Tópico 1 ER2 P1: 5/5 execuções falharam (100,0%),"/>
  </r>
  <r>
    <s v="Tópico 1"/>
    <s v="ER2"/>
    <x v="1"/>
    <n v="5"/>
    <n v="5"/>
    <n v="0"/>
    <n v="100"/>
    <n v="0"/>
    <s v="Tópico 1 ER2 P2: 5/5 execuções falharam (10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5"/>
    <n v="0"/>
    <n v="100"/>
    <n v="0"/>
    <s v="Tópico 1 ER2 P4: 5/5 execuções falharam (100,0%),"/>
  </r>
  <r>
    <s v="Tópico 1"/>
    <s v="ER3"/>
    <x v="0"/>
    <n v="5"/>
    <n v="5"/>
    <n v="0"/>
    <n v="100"/>
    <n v="0"/>
    <s v="Tópico 1 ER3 P1: 5/5 execuções falharam (100,0%),"/>
  </r>
  <r>
    <s v="Tópico 1"/>
    <s v="ER3"/>
    <x v="1"/>
    <n v="5"/>
    <n v="1"/>
    <n v="4"/>
    <n v="20"/>
    <n v="80"/>
    <s v="Tópico 1 ER3 P2: 1/5 execuções falharam (20,0%),"/>
  </r>
  <r>
    <s v="Tópico 1"/>
    <s v="ER3"/>
    <x v="2"/>
    <n v="5"/>
    <n v="0"/>
    <n v="5"/>
    <n v="0"/>
    <n v="100"/>
    <s v="Tópico 1 ER3 P3: 0/5 execuções falharam (0,0%),"/>
  </r>
  <r>
    <s v="Tópico 1"/>
    <s v="ER3"/>
    <x v="3"/>
    <n v="5"/>
    <n v="4"/>
    <n v="1"/>
    <n v="80"/>
    <n v="20"/>
    <s v="Tópico 1 ER3 P4: 4/5 execuções falharam (8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0"/>
    <n v="5"/>
    <n v="0"/>
    <n v="100"/>
    <s v="Tópico 1 PA1 P2: 0/5 execuções falharam (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1"/>
    <n v="4"/>
    <n v="20"/>
    <n v="80"/>
    <s v="Tópico 1 PA1 P4: 1/5 execuções falharam (20,0%),"/>
  </r>
  <r>
    <s v="Tópico 1"/>
    <s v="PA2"/>
    <x v="0"/>
    <n v="5"/>
    <n v="0"/>
    <n v="5"/>
    <n v="0"/>
    <n v="100"/>
    <s v="Tópico 1 PA2 P1: 0/5 execuções falharam (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5"/>
    <n v="0"/>
    <n v="100"/>
    <n v="0"/>
    <s v="Tópico 2 ER1 P1: 5/5 execuções falharam (100,0%),"/>
  </r>
  <r>
    <s v="Tópico 2"/>
    <s v="ER1"/>
    <x v="1"/>
    <n v="5"/>
    <n v="0"/>
    <n v="5"/>
    <n v="0"/>
    <n v="100"/>
    <s v="Tópico 2 ER1 P2: 0/5 execuções falharam (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3"/>
    <n v="2"/>
    <n v="60"/>
    <n v="40"/>
    <s v="Tópico 2 ER1 P4: 3/5 execuções falharam (60,0%),"/>
  </r>
  <r>
    <s v="Tópico 2"/>
    <s v="ER2"/>
    <x v="0"/>
    <n v="5"/>
    <n v="2"/>
    <n v="3"/>
    <n v="40"/>
    <n v="60"/>
    <s v="Tópico 2 ER2 P1: 2/5 execuções falharam (40,0%),"/>
  </r>
  <r>
    <s v="Tópico 2"/>
    <s v="ER2"/>
    <x v="1"/>
    <n v="5"/>
    <n v="4"/>
    <n v="1"/>
    <n v="80"/>
    <n v="20"/>
    <s v="Tópico 2 ER2 P2: 4/5 execuções falharam (8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0"/>
    <n v="5"/>
    <n v="0"/>
    <n v="100"/>
    <s v="Tópico 2 ER2 P4: 0/5 execuções falharam (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0"/>
    <n v="5"/>
    <n v="0"/>
    <n v="100"/>
    <s v="Tópico 2 PA1 P2: 0/5 execuções falharam (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0"/>
    <n v="5"/>
    <n v="0"/>
    <n v="100"/>
    <s v="Tópico 2 PA1 P4: 0/5 execuções falharam (0,0%),"/>
  </r>
  <r>
    <s v="Tópico 2"/>
    <s v="PA2"/>
    <x v="0"/>
    <n v="5"/>
    <n v="3"/>
    <n v="2"/>
    <n v="60"/>
    <n v="40"/>
    <s v="Tópico 2 PA2 P1: 3/5 execuções falharam (60,0%),"/>
  </r>
  <r>
    <s v="Tópico 2"/>
    <s v="PA2"/>
    <x v="1"/>
    <n v="5"/>
    <n v="2"/>
    <n v="3"/>
    <n v="40"/>
    <n v="60"/>
    <s v="Tópico 2 PA2 P2: 2/5 execuções falharam (4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2"/>
    <n v="3"/>
    <n v="40"/>
    <n v="60"/>
    <s v="Tópico 2 PA2 P4: 2/5 execuções falharam (40,0%),"/>
  </r>
  <r>
    <s v="Tópico 3"/>
    <s v="ER1"/>
    <x v="0"/>
    <n v="5"/>
    <n v="5"/>
    <n v="0"/>
    <n v="100"/>
    <n v="0"/>
    <s v="Tópico 3 ER1 P1: 5/5 execuções falharam (100,0%),"/>
  </r>
  <r>
    <s v="Tópico 3"/>
    <s v="ER1"/>
    <x v="1"/>
    <n v="5"/>
    <n v="4"/>
    <n v="1"/>
    <n v="80"/>
    <n v="20"/>
    <s v="Tópico 3 ER1 P2: 4/5 execuções falharam (80,0%),"/>
  </r>
  <r>
    <s v="Tópico 3"/>
    <s v="ER1"/>
    <x v="2"/>
    <n v="5"/>
    <n v="3"/>
    <n v="2"/>
    <n v="60"/>
    <n v="40"/>
    <s v="Tópico 3 ER1 P3: 3/5 execuções falharam (60,0%),"/>
  </r>
  <r>
    <s v="Tópico 3"/>
    <s v="ER1"/>
    <x v="3"/>
    <n v="5"/>
    <n v="2"/>
    <n v="3"/>
    <n v="40"/>
    <n v="60"/>
    <s v="Tópico 3 ER1 P4: 2/5 execuções falharam (4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0"/>
    <n v="5"/>
    <n v="0"/>
    <n v="100"/>
    <s v="Tópico 3 ER2 P2: 0/5 execuções falharam (0,0%),"/>
  </r>
  <r>
    <s v="Tópico 3"/>
    <s v="ER2"/>
    <x v="2"/>
    <n v="5"/>
    <n v="1"/>
    <n v="4"/>
    <n v="20"/>
    <n v="80"/>
    <s v="Tópico 3 ER2 P3: 1/5 execuções falharam (2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3"/>
    <n v="2"/>
    <n v="60"/>
    <n v="40"/>
    <s v="Tópico 3 PA1 P1: 3/5 execuções falharam (60,0%),"/>
  </r>
  <r>
    <s v="Tópico 3"/>
    <s v="PA1"/>
    <x v="1"/>
    <n v="5"/>
    <n v="4"/>
    <n v="1"/>
    <n v="80"/>
    <n v="20"/>
    <s v="Tópico 3 PA1 P2: 4/5 execuções falharam (80,0%),"/>
  </r>
  <r>
    <s v="Tópico 3"/>
    <s v="PA1"/>
    <x v="2"/>
    <n v="5"/>
    <n v="0"/>
    <n v="5"/>
    <n v="0"/>
    <n v="100"/>
    <s v="Tópico 3 PA1 P3: 0/5 execuções falharam (0,0%),"/>
  </r>
  <r>
    <s v="Tópico 3"/>
    <s v="PA1"/>
    <x v="3"/>
    <n v="5"/>
    <n v="1"/>
    <n v="4"/>
    <n v="20"/>
    <n v="80"/>
    <s v="Tópico 3 PA1 P4: 1/5 execuções falharam (20,0%),"/>
  </r>
  <r>
    <s v="Tópico 3"/>
    <s v="PA2"/>
    <x v="0"/>
    <n v="5"/>
    <n v="0"/>
    <n v="5"/>
    <n v="0"/>
    <n v="100"/>
    <s v="Tópico 3 PA2 P1: 0/5 execuções falharam (0,0%),"/>
  </r>
  <r>
    <s v="Tópico 3"/>
    <s v="PA2"/>
    <x v="1"/>
    <n v="5"/>
    <n v="2"/>
    <n v="3"/>
    <n v="40"/>
    <n v="60"/>
    <s v="Tópico 3 PA2 P2: 2/5 execuções falharam (40,0%),"/>
  </r>
  <r>
    <s v="Tópico 3"/>
    <s v="PA2"/>
    <x v="2"/>
    <n v="5"/>
    <n v="0"/>
    <n v="5"/>
    <n v="0"/>
    <n v="100"/>
    <s v="Tópico 3 PA2 P3: 0/5 execuções falharam (0,0%),"/>
  </r>
  <r>
    <s v="Tópico 3"/>
    <s v="PA2"/>
    <x v="3"/>
    <n v="5"/>
    <n v="1"/>
    <n v="4"/>
    <n v="20"/>
    <n v="80"/>
    <s v="Tópico 3 PA2 P4: 1/5 execuções falharam (20,0%),"/>
  </r>
  <r>
    <s v="Tópico 4"/>
    <s v="ER1"/>
    <x v="0"/>
    <n v="5"/>
    <n v="1"/>
    <n v="4"/>
    <n v="20"/>
    <n v="80"/>
    <s v="Tópico 4 ER1 P1: 1/5 execuções falharam (20,0%),"/>
  </r>
  <r>
    <s v="Tópico 4"/>
    <s v="ER1"/>
    <x v="1"/>
    <n v="5"/>
    <n v="1"/>
    <n v="4"/>
    <n v="20"/>
    <n v="80"/>
    <s v="Tópico 4 ER1 P2: 1/5 execuções falharam (2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2"/>
    <n v="3"/>
    <n v="40"/>
    <n v="60"/>
    <s v="Tópico 4 ER1 P4: 2/5 execuções falharam (40,0%),"/>
  </r>
  <r>
    <s v="Tópico 4"/>
    <s v="ER2"/>
    <x v="0"/>
    <n v="5"/>
    <n v="2"/>
    <n v="3"/>
    <n v="40"/>
    <n v="60"/>
    <s v="Tópico 4 ER2 P1: 2/5 execuções falharam (40,0%),"/>
  </r>
  <r>
    <s v="Tópico 4"/>
    <s v="ER2"/>
    <x v="1"/>
    <n v="5"/>
    <n v="0"/>
    <n v="5"/>
    <n v="0"/>
    <n v="100"/>
    <s v="Tópico 4 ER2 P2: 0/5 execuções falharam (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0"/>
    <n v="5"/>
    <n v="0"/>
    <n v="100"/>
    <s v="Tópico 4 ER2 P4: 0/5 execuções falharam (0,0%),"/>
  </r>
  <r>
    <s v="Tópico 4"/>
    <s v="PA1"/>
    <x v="0"/>
    <n v="5"/>
    <n v="1"/>
    <n v="4"/>
    <n v="20"/>
    <n v="80"/>
    <s v="Tópico 4 PA1 P1: 1/5 execuções falharam (20,0%),"/>
  </r>
  <r>
    <s v="Tópico 4"/>
    <s v="PA1"/>
    <x v="1"/>
    <n v="5"/>
    <n v="1"/>
    <n v="4"/>
    <n v="20"/>
    <n v="80"/>
    <s v="Tópico 4 PA1 P2: 1/5 execuções falharam (2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1"/>
    <n v="4"/>
    <n v="20"/>
    <n v="80"/>
    <s v="Tópico 4 PA1 P4: 1/5 execuções falharam (20,0%),"/>
  </r>
  <r>
    <s v="Tópico 4"/>
    <s v="PA2"/>
    <x v="0"/>
    <n v="5"/>
    <n v="5"/>
    <n v="0"/>
    <n v="100"/>
    <n v="0"/>
    <s v="Tópico 4 PA2 P1: 5/5 execuções falharam (100,0%),"/>
  </r>
  <r>
    <s v="Tópico 4"/>
    <s v="PA2"/>
    <x v="1"/>
    <n v="5"/>
    <n v="3"/>
    <n v="2"/>
    <n v="60"/>
    <n v="40"/>
    <s v="Tópico 4 PA2 P2: 3/5 execuções falharam (60,0%),"/>
  </r>
  <r>
    <s v="Tópico 4"/>
    <s v="PA2"/>
    <x v="2"/>
    <n v="5"/>
    <n v="0"/>
    <n v="5"/>
    <n v="0"/>
    <n v="100"/>
    <s v="Tópico 4 PA2 P3: 0/5 execuções falharam (0,0%),"/>
  </r>
  <r>
    <s v="Tópico 4"/>
    <s v="PA2"/>
    <x v="3"/>
    <n v="5"/>
    <n v="0"/>
    <n v="5"/>
    <n v="0"/>
    <n v="100"/>
    <s v="Tópico 4 PA2 P4: 0/5 execuções falharam (0,0%),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0"/>
    <n v="5"/>
    <n v="0"/>
    <n v="100"/>
    <n v="0"/>
    <s v="Tópico 5 Cifra_Hibrida P1 ER1: 0/5 execuções passaram (0,0%),"/>
  </r>
  <r>
    <s v="Tópico 5"/>
    <s v="Cifra_Hibrida"/>
    <x v="0"/>
    <s v="ER2"/>
    <s v="ER"/>
    <n v="3"/>
    <s v="Utilização incorreta de algoritmos, modos de operação ou bibliotecas criptográficas,"/>
    <n v="5"/>
    <n v="4"/>
    <n v="1"/>
    <n v="80"/>
    <n v="20"/>
    <n v="80"/>
    <s v="Tópico 5 Cifra_Hibrida P1 ER2: 4/5 execuções passaram (80,0%),"/>
  </r>
  <r>
    <s v="Tópico 5"/>
    <s v="Cifra_Hibrida"/>
    <x v="0"/>
    <s v="ER3"/>
    <s v="ER"/>
    <n v="3"/>
    <s v="Ausência ou implementação incorreta de criptografia híbrida quando aplicável,"/>
    <n v="5"/>
    <n v="3"/>
    <n v="2"/>
    <n v="60"/>
    <n v="40"/>
    <n v="60"/>
    <s v="Tópico 5 Cifra_Hibrida P1 ER3: 3/5 execuções passaram (60,0%),"/>
  </r>
  <r>
    <s v="Tópico 5"/>
    <s v="Cifra_Hibrida"/>
    <x v="0"/>
    <s v="PA1"/>
    <s v="PA"/>
    <n v="3"/>
    <s v="Armazenamento ou exposição insegura de chaves criptográficas,"/>
    <n v="5"/>
    <n v="5"/>
    <n v="0"/>
    <n v="100"/>
    <n v="0"/>
    <n v="100"/>
    <s v="Tópico 5 Cifra_Hibrida P1 PA1: 5/5 execuções passaram (100,0%),"/>
  </r>
  <r>
    <s v="Tópico 5"/>
    <s v="Cifra_Hibrida"/>
    <x v="0"/>
    <s v="PA2"/>
    <s v="PA"/>
    <n v="2"/>
    <s v="Gestão inadequada dos ficheiros produzidos durante a cifra ou decifra,"/>
    <n v="5"/>
    <n v="2"/>
    <n v="3"/>
    <n v="40"/>
    <n v="60"/>
    <n v="40"/>
    <s v="Tópico 5 Cifra_Hibrida P1 PA2: 2/5 execuções passaram (40,0%),"/>
  </r>
  <r>
    <s v="Tópico 5"/>
    <s v="Cifra_Hibrida"/>
    <x v="1"/>
    <s v="ER1"/>
    <s v="ER"/>
    <n v="3"/>
    <s v="Geração insegura de chaves criptográficas ou chave com tamanho incorreto,"/>
    <n v="5"/>
    <n v="1"/>
    <n v="4"/>
    <n v="20"/>
    <n v="80"/>
    <n v="20"/>
    <s v="Tópico 5 Cifra_Hibrida P2 ER1: 1/5 execuções passaram (20,0%),"/>
  </r>
  <r>
    <s v="Tópico 5"/>
    <s v="Cifra_Hibrida"/>
    <x v="1"/>
    <s v="ER2"/>
    <s v="ER"/>
    <n v="3"/>
    <s v="Utilização incorreta de algoritmos, modos de operação ou bibliotecas criptográficas,"/>
    <n v="5"/>
    <n v="1"/>
    <n v="4"/>
    <n v="20"/>
    <n v="80"/>
    <n v="20"/>
    <s v="Tópico 5 Cifra_Hibrida P2 ER2: 1/5 execuções passaram (20,0%),"/>
  </r>
  <r>
    <s v="Tópico 5"/>
    <s v="Cifra_Hibrida"/>
    <x v="1"/>
    <s v="ER3"/>
    <s v="ER"/>
    <n v="3"/>
    <s v="Ausência ou implementação incorreta de criptografia híbrida quando aplicável,"/>
    <n v="5"/>
    <n v="2"/>
    <n v="3"/>
    <n v="40"/>
    <n v="60"/>
    <n v="40"/>
    <s v="Tópico 5 Cifra_Hibrida P2 ER3: 2/5 execuções passaram (40,0%),"/>
  </r>
  <r>
    <s v="Tópico 5"/>
    <s v="Cifra_Hibrida"/>
    <x v="1"/>
    <s v="PA1"/>
    <s v="PA"/>
    <n v="3"/>
    <s v="Armazenamento ou exposição insegura de chaves criptográficas,"/>
    <n v="5"/>
    <n v="5"/>
    <n v="0"/>
    <n v="100"/>
    <n v="0"/>
    <n v="100"/>
    <s v="Tópico 5 Cifra_Hibrida P2 PA1: 5/5 execuções passaram (100,0%),"/>
  </r>
  <r>
    <s v="Tópico 5"/>
    <s v="Cifra_Hibrida"/>
    <x v="1"/>
    <s v="PA2"/>
    <s v="PA"/>
    <n v="2"/>
    <s v="Gestão inadequada dos ficheiros produzidos durante a cifra ou decifra,"/>
    <n v="5"/>
    <n v="2"/>
    <n v="3"/>
    <n v="40"/>
    <n v="60"/>
    <n v="40"/>
    <s v="Tópico 5 Cifra_Hibrida P2 PA2: 2/5 execuções passaram (40,0%),"/>
  </r>
  <r>
    <s v="Tópico 5"/>
    <s v="Cifra_Hibrida"/>
    <x v="2"/>
    <s v="ER1"/>
    <s v="ER"/>
    <n v="3"/>
    <s v="Geração insegura de chaves criptográficas ou chave com tamanho incorreto,"/>
    <n v="5"/>
    <n v="0"/>
    <n v="5"/>
    <n v="0"/>
    <n v="100"/>
    <n v="0"/>
    <s v="Tópico 5 Cifra_Hibrida P3 ER1: 0/5 execuções passaram (0,0%),"/>
  </r>
  <r>
    <s v="Tópico 5"/>
    <s v="Cifra_Hibrid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Cifra_Hibrida P3 ER2: 5/5 execuções passaram (100,0%),"/>
  </r>
  <r>
    <s v="Tópico 5"/>
    <s v="Cifra_Hibrida"/>
    <x v="2"/>
    <s v="ER3"/>
    <s v="ER"/>
    <n v="3"/>
    <s v="Ausência ou implementação incorreta de criptografia híbrida quando aplicável,"/>
    <n v="5"/>
    <n v="5"/>
    <n v="0"/>
    <n v="100"/>
    <n v="0"/>
    <n v="100"/>
    <s v="Tópico 5 Cifra_Hibrida P3 ER3: 5/5 execuções passaram (100,0%),"/>
  </r>
  <r>
    <s v="Tópico 5"/>
    <s v="Cifra_Hibrida"/>
    <x v="2"/>
    <s v="PA1"/>
    <s v="PA"/>
    <n v="3"/>
    <s v="Armazenamento ou exposição insegura de chaves criptográficas,"/>
    <n v="5"/>
    <n v="0"/>
    <n v="5"/>
    <n v="0"/>
    <n v="100"/>
    <n v="0"/>
    <s v="Tópico 5 Cifra_Hibrida P3 PA1: 0/5 execuções passaram (0,0%),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  <s v="Tópico 5 Cifra_Hibrida P3 PA2: 5/5 execuções passaram (100,0%),"/>
  </r>
  <r>
    <s v="Tópico 5"/>
    <s v="Cifra_Hibrida"/>
    <x v="3"/>
    <s v="ER1"/>
    <s v="ER"/>
    <n v="3"/>
    <s v="Geração insegura de chaves criptográficas ou chave com tamanho incorreto,"/>
    <n v="5"/>
    <n v="3"/>
    <n v="2"/>
    <n v="60"/>
    <n v="40"/>
    <n v="60"/>
    <s v="Tópico 5 Cifra_Hibrida P4 ER1: 3/5 execuções passaram (60,0%),"/>
  </r>
  <r>
    <s v="Tópico 5"/>
    <s v="Cifra_Hibrida"/>
    <x v="3"/>
    <s v="ER2"/>
    <s v="ER"/>
    <n v="3"/>
    <s v="Utilização incorreta de algoritmos, modos de operação ou bibliotecas criptográficas,"/>
    <n v="5"/>
    <n v="2"/>
    <n v="3"/>
    <n v="40"/>
    <n v="60"/>
    <n v="40"/>
    <s v="Tópico 5 Cifra_Hibrida P4 ER2: 2/5 execuções passaram (40,0%),"/>
  </r>
  <r>
    <s v="Tópico 5"/>
    <s v="Cifra_Hibrida"/>
    <x v="3"/>
    <s v="ER3"/>
    <s v="ER"/>
    <n v="3"/>
    <s v="Ausência ou implementação incorreta de criptografia híbrida quando aplicável,"/>
    <n v="5"/>
    <n v="5"/>
    <n v="0"/>
    <n v="100"/>
    <n v="0"/>
    <n v="100"/>
    <s v="Tópico 5 Cifra_Hibrida P4 ER3: 5/5 execuções passaram (100,0%),"/>
  </r>
  <r>
    <s v="Tópico 5"/>
    <s v="Cifra_Hibrida"/>
    <x v="3"/>
    <s v="PA1"/>
    <s v="PA"/>
    <n v="3"/>
    <s v="Armazenamento ou exposição insegura de chaves criptográficas,"/>
    <n v="5"/>
    <n v="2"/>
    <n v="3"/>
    <n v="40"/>
    <n v="60"/>
    <n v="40"/>
    <s v="Tópico 5 Cifra_Hibrida P4 PA1: 2/5 execuções passaram (40,0%),"/>
  </r>
  <r>
    <s v="Tópico 5"/>
    <s v="Cifra_Hibrida"/>
    <x v="3"/>
    <s v="PA2"/>
    <s v="PA"/>
    <n v="2"/>
    <s v="Gestão inadequada dos ficheiros produzidos durante a cifra ou decifra,"/>
    <n v="5"/>
    <n v="5"/>
    <n v="0"/>
    <n v="100"/>
    <n v="0"/>
    <n v="100"/>
    <s v="Tópico 5 Cifra_Hibrida P4 PA2: 5/5 execuções passaram (100,0%),"/>
  </r>
  <r>
    <s v="Tópico 5"/>
    <s v="Cifra_Simetrica"/>
    <x v="0"/>
    <s v="ER1"/>
    <s v="ER"/>
    <n v="3"/>
    <s v="Geração insegura de chaves criptográficas ou chave com tamanho incorreto,"/>
    <n v="5"/>
    <n v="3"/>
    <n v="2"/>
    <n v="60"/>
    <n v="40"/>
    <n v="60"/>
    <s v="Tópico 5 Cifra_Simetrica P1 ER1: 3/5 execuções passaram (60,0%),"/>
  </r>
  <r>
    <s v="Tópico 5"/>
    <s v="Cifra_Simetrica"/>
    <x v="0"/>
    <s v="ER2"/>
    <s v="ER"/>
    <n v="3"/>
    <s v="Utilização incorreta de algoritmos, modos de operação ou bibliotecas criptográficas,"/>
    <n v="5"/>
    <n v="4"/>
    <n v="1"/>
    <n v="80"/>
    <n v="20"/>
    <n v="80"/>
    <s v="Tópico 5 Cifra_Simetrica P1 ER2: 4/5 execuções passaram (80,0%),"/>
  </r>
  <r>
    <s v="Tópico 5"/>
    <s v="Cifra_Simetrica"/>
    <x v="0"/>
    <s v="PA1"/>
    <s v="PA"/>
    <n v="3"/>
    <s v="Armazenamento ou exposição insegura de chaves criptográficas,"/>
    <n v="5"/>
    <n v="0"/>
    <n v="5"/>
    <n v="0"/>
    <n v="100"/>
    <n v="0"/>
    <s v="Tópico 5 Cifra_Simetrica P1 PA1: 0/5 execuções passaram (0,0%),"/>
  </r>
  <r>
    <s v="Tópico 5"/>
    <s v="Cifra_Simetrica"/>
    <x v="0"/>
    <s v="PA2"/>
    <s v="PA"/>
    <n v="2"/>
    <s v="Gestão inadequada dos ficheiros produzidos durante a cifra ou decifra,"/>
    <n v="5"/>
    <n v="4"/>
    <n v="1"/>
    <n v="80"/>
    <n v="20"/>
    <n v="80"/>
    <s v="Tópico 5 Cifra_Simetrica P1 PA2: 4/5 execuções passaram (80,0%),"/>
  </r>
  <r>
    <s v="Tópico 5"/>
    <s v="Cifra_Simetrica"/>
    <x v="1"/>
    <s v="ER1"/>
    <s v="ER"/>
    <n v="3"/>
    <s v="Geração insegura de chaves criptográficas ou chave com tamanho incorreto,"/>
    <n v="5"/>
    <n v="2"/>
    <n v="3"/>
    <n v="40"/>
    <n v="60"/>
    <n v="40"/>
    <s v="Tópico 5 Cifra_Simetrica P2 ER1: 2/5 execuções passaram (40,0%),"/>
  </r>
  <r>
    <s v="Tópico 5"/>
    <s v="Cifra_Simetrica"/>
    <x v="1"/>
    <s v="ER2"/>
    <s v="ER"/>
    <n v="3"/>
    <s v="Utilização incorreta de algoritmos, modos de operação ou bibliotecas criptográficas,"/>
    <n v="5"/>
    <n v="5"/>
    <n v="0"/>
    <n v="100"/>
    <n v="0"/>
    <n v="100"/>
    <s v="Tópico 5 Cifra_Simetrica P2 ER2: 5/5 execuções passaram (100,0%),"/>
  </r>
  <r>
    <s v="Tópico 5"/>
    <s v="Cifra_Simetrica"/>
    <x v="1"/>
    <s v="PA1"/>
    <s v="PA"/>
    <n v="3"/>
    <s v="Armazenamento ou exposição insegura de chaves criptográficas,"/>
    <n v="5"/>
    <n v="1"/>
    <n v="4"/>
    <n v="20"/>
    <n v="80"/>
    <n v="20"/>
    <s v="Tópico 5 Cifra_Simetrica P2 PA1: 1/5 execuções passaram (20,0%),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  <s v="Tópico 5 Cifra_Simetrica P2 PA2: 5/5 execuções passaram (100,0%),"/>
  </r>
  <r>
    <s v="Tópico 5"/>
    <s v="Cifra_Simetrica"/>
    <x v="2"/>
    <s v="ER1"/>
    <s v="ER"/>
    <n v="3"/>
    <s v="Geração insegura de chaves criptográficas ou chave com tamanho incorreto,"/>
    <n v="5"/>
    <n v="4"/>
    <n v="1"/>
    <n v="80"/>
    <n v="20"/>
    <n v="80"/>
    <s v="Tópico 5 Cifra_Simetrica P3 ER1: 4/5 execuções passaram (80,0%),"/>
  </r>
  <r>
    <s v="Tópico 5"/>
    <s v="Cifra_Simetric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Cifra_Simetrica P3 ER2: 5/5 execuções passaram (100,0%),"/>
  </r>
  <r>
    <s v="Tópico 5"/>
    <s v="Cifra_Simetrica"/>
    <x v="2"/>
    <s v="PA1"/>
    <s v="PA"/>
    <n v="3"/>
    <s v="Armazenamento ou exposição insegura de chaves criptográficas,"/>
    <n v="5"/>
    <n v="5"/>
    <n v="0"/>
    <n v="100"/>
    <n v="0"/>
    <n v="100"/>
    <s v="Tópico 5 Cifra_Simetrica P3 PA1: 5/5 execuções passaram (100,0%),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  <s v="Tópico 5 Cifra_Simetrica P3 PA2: 5/5 execuções passaram (100,0%),"/>
  </r>
  <r>
    <s v="Tópico 5"/>
    <s v="Cifra_Simetrica"/>
    <x v="3"/>
    <s v="ER1"/>
    <s v="ER"/>
    <n v="3"/>
    <s v="Geração insegura de chaves criptográficas ou chave com tamanho incorreto,"/>
    <n v="5"/>
    <n v="3"/>
    <n v="2"/>
    <n v="60"/>
    <n v="40"/>
    <n v="60"/>
    <s v="Tópico 5 Cifra_Simetrica P4 ER1: 3/5 execuções passaram (60,0%),"/>
  </r>
  <r>
    <s v="Tópico 5"/>
    <s v="Cifra_Simetrica"/>
    <x v="3"/>
    <s v="ER2"/>
    <s v="ER"/>
    <n v="3"/>
    <s v="Utilização incorreta de algoritmos, modos de operação ou bibliotecas criptográficas,"/>
    <n v="5"/>
    <n v="2"/>
    <n v="3"/>
    <n v="40"/>
    <n v="60"/>
    <n v="40"/>
    <s v="Tópico 5 Cifra_Simetrica P4 ER2: 2/5 execuções passaram (40,0%),"/>
  </r>
  <r>
    <s v="Tópico 5"/>
    <s v="Cifra_Simetrica"/>
    <x v="3"/>
    <s v="PA1"/>
    <s v="PA"/>
    <n v="3"/>
    <s v="Armazenamento ou exposição insegura de chaves criptográficas,"/>
    <n v="5"/>
    <n v="4"/>
    <n v="1"/>
    <n v="80"/>
    <n v="20"/>
    <n v="80"/>
    <s v="Tópico 5 Cifra_Simetrica P4 PA1: 4/5 execuções passaram (80,0%),"/>
  </r>
  <r>
    <s v="Tópico 5"/>
    <s v="Cifra_Simetrica"/>
    <x v="3"/>
    <s v="PA2"/>
    <s v="PA"/>
    <n v="2"/>
    <s v="Gestão inadequada dos ficheiros produzidos durante a cifra ou decifra,"/>
    <n v="5"/>
    <n v="4"/>
    <n v="1"/>
    <n v="80"/>
    <n v="20"/>
    <n v="80"/>
    <s v="Tópico 5 Cifra_Simetrica P4 PA2: 4/5 execuções passaram (80,0%),"/>
  </r>
  <r>
    <s v="Tópico 5"/>
    <s v="Decifra_Hibrida"/>
    <x v="0"/>
    <s v="ER2"/>
    <s v="ER"/>
    <n v="3"/>
    <s v="Utilização incorreta de algoritmos, modos de operação ou bibliotecas criptográficas,"/>
    <n v="5"/>
    <n v="2"/>
    <n v="3"/>
    <n v="40"/>
    <n v="60"/>
    <n v="40"/>
    <s v="Tópico 5 Decifra_Hibrida P1 ER2: 2/5 execuções passaram (40,0%),"/>
  </r>
  <r>
    <s v="Tópico 5"/>
    <s v="Decifra_Hibrida"/>
    <x v="0"/>
    <s v="ER3"/>
    <s v="ER"/>
    <n v="3"/>
    <s v="Ausência ou implementação incorreta de criptografia híbrida quando aplicável,"/>
    <n v="5"/>
    <n v="1"/>
    <n v="4"/>
    <n v="20"/>
    <n v="80"/>
    <n v="20"/>
    <s v="Tópico 5 Decifra_Hibrida P1 ER3: 1/5 execuções passaram (20,0%),"/>
  </r>
  <r>
    <s v="Tópico 5"/>
    <s v="Decifra_Hibrida"/>
    <x v="0"/>
    <s v="PA1"/>
    <s v="PA"/>
    <n v="3"/>
    <s v="Armazenamento ou exposição insegura de chaves criptográficas,"/>
    <n v="5"/>
    <n v="5"/>
    <n v="0"/>
    <n v="100"/>
    <n v="0"/>
    <n v="100"/>
    <s v="Tópico 5 Decifra_Hibrida P1 PA1: 5/5 execuções passaram (100,0%),"/>
  </r>
  <r>
    <s v="Tópico 5"/>
    <s v="Decifra_Hibrida"/>
    <x v="0"/>
    <s v="PA2"/>
    <s v="PA"/>
    <n v="2"/>
    <s v="Gestão inadequada dos ficheiros produzidos durante a cifra ou decifra,"/>
    <n v="5"/>
    <n v="2"/>
    <n v="3"/>
    <n v="40"/>
    <n v="60"/>
    <n v="40"/>
    <s v="Tópico 5 Decifra_Hibrida P1 PA2: 2/5 execuções passaram (40,0%),"/>
  </r>
  <r>
    <s v="Tópico 5"/>
    <s v="Decifra_Hibrida"/>
    <x v="1"/>
    <s v="ER2"/>
    <s v="ER"/>
    <n v="3"/>
    <s v="Utilização incorreta de algoritmos, modos de operação ou bibliotecas criptográficas,"/>
    <n v="5"/>
    <n v="1"/>
    <n v="4"/>
    <n v="20"/>
    <n v="80"/>
    <n v="20"/>
    <s v="Tópico 5 Decifra_Hibrida P2 ER2: 1/5 execuções passaram (20,0%),"/>
  </r>
  <r>
    <s v="Tópico 5"/>
    <s v="Decifra_Hibrida"/>
    <x v="1"/>
    <s v="ER3"/>
    <s v="ER"/>
    <n v="3"/>
    <s v="Ausência ou implementação incorreta de criptografia híbrida quando aplicável,"/>
    <n v="5"/>
    <n v="1"/>
    <n v="4"/>
    <n v="20"/>
    <n v="80"/>
    <n v="20"/>
    <s v="Tópico 5 Decifra_Hibrida P2 ER3: 1/5 execuções passaram (20,0%),"/>
  </r>
  <r>
    <s v="Tópico 5"/>
    <s v="Decifra_Hibrida"/>
    <x v="1"/>
    <s v="PA1"/>
    <s v="PA"/>
    <n v="3"/>
    <s v="Armazenamento ou exposição insegura de chaves criptográficas,"/>
    <n v="5"/>
    <n v="4"/>
    <n v="1"/>
    <n v="80"/>
    <n v="20"/>
    <n v="80"/>
    <s v="Tópico 5 Decifra_Hibrida P2 PA1: 4/5 execuções passaram (80,0%),"/>
  </r>
  <r>
    <s v="Tópico 5"/>
    <s v="Decifra_Hibrida"/>
    <x v="1"/>
    <s v="PA2"/>
    <s v="PA"/>
    <n v="2"/>
    <s v="Gestão inadequada dos ficheiros produzidos durante a cifra ou decifra,"/>
    <n v="5"/>
    <n v="5"/>
    <n v="0"/>
    <n v="100"/>
    <n v="0"/>
    <n v="100"/>
    <s v="Tópico 5 Decifra_Hibrida P2 PA2: 5/5 execuções passaram (100,0%),"/>
  </r>
  <r>
    <s v="Tópico 5"/>
    <s v="Decifra_Hibrid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Decifra_Hibrida P3 ER2: 5/5 execuções passaram (100,0%),"/>
  </r>
  <r>
    <s v="Tópico 5"/>
    <s v="Decifra_Hibrida"/>
    <x v="2"/>
    <s v="ER3"/>
    <s v="ER"/>
    <n v="3"/>
    <s v="Ausência ou implementação incorreta de criptografia híbrida quando aplicável,"/>
    <n v="5"/>
    <n v="5"/>
    <n v="0"/>
    <n v="100"/>
    <n v="0"/>
    <n v="100"/>
    <s v="Tópico 5 Decifra_Hibrida P3 ER3: 5/5 execuções passaram (100,0%),"/>
  </r>
  <r>
    <s v="Tópico 5"/>
    <s v="Decifra_Hibrida"/>
    <x v="2"/>
    <s v="PA1"/>
    <s v="PA"/>
    <n v="3"/>
    <s v="Armazenamento ou exposição insegura de chaves criptográficas,"/>
    <n v="5"/>
    <n v="0"/>
    <n v="5"/>
    <n v="0"/>
    <n v="100"/>
    <n v="0"/>
    <s v="Tópico 5 Decifra_Hibrida P3 PA1: 0/5 execuções passaram (0,0%),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  <s v="Tópico 5 Decifra_Hibrida P3 PA2: 5/5 execuções passaram (100,0%),"/>
  </r>
  <r>
    <s v="Tópico 5"/>
    <s v="Decifra_Hibrida"/>
    <x v="3"/>
    <s v="ER2"/>
    <s v="ER"/>
    <n v="3"/>
    <s v="Utilização incorreta de algoritmos, modos de operação ou bibliotecas criptográficas,"/>
    <n v="5"/>
    <n v="1"/>
    <n v="4"/>
    <n v="20"/>
    <n v="80"/>
    <n v="20"/>
    <s v="Tópico 5 Decifra_Hibrida P4 ER2: 1/5 execuções passaram (20,0%),"/>
  </r>
  <r>
    <s v="Tópico 5"/>
    <s v="Decifra_Hibrida"/>
    <x v="3"/>
    <s v="ER3"/>
    <s v="ER"/>
    <n v="3"/>
    <s v="Ausência ou implementação incorreta de criptografia híbrida quando aplicável,"/>
    <n v="5"/>
    <n v="3"/>
    <n v="2"/>
    <n v="60"/>
    <n v="40"/>
    <n v="60"/>
    <s v="Tópico 5 Decifra_Hibrida P4 ER3: 3/5 execuções passaram (60,0%),"/>
  </r>
  <r>
    <s v="Tópico 5"/>
    <s v="Decifra_Hibrida"/>
    <x v="3"/>
    <s v="PA1"/>
    <s v="PA"/>
    <n v="3"/>
    <s v="Armazenamento ou exposição insegura de chaves criptográficas,"/>
    <n v="5"/>
    <n v="3"/>
    <n v="2"/>
    <n v="60"/>
    <n v="40"/>
    <n v="60"/>
    <s v="Tópico 5 Decifra_Hibrida P4 PA1: 3/5 execuções passaram (60,0%),"/>
  </r>
  <r>
    <s v="Tópico 5"/>
    <s v="Decifra_Hibrida"/>
    <x v="3"/>
    <s v="PA2"/>
    <s v="PA"/>
    <n v="2"/>
    <s v="Gestão inadequada dos ficheiros produzidos durante a cifra ou decifra,"/>
    <n v="5"/>
    <n v="5"/>
    <n v="0"/>
    <n v="100"/>
    <n v="0"/>
    <n v="100"/>
    <s v="Tópico 5 Decifra_Hibrida P4 PA2: 5/5 execuções passaram (100,0%),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Tópico 1"/>
    <s v="ER1"/>
    <x v="0"/>
    <n v="5"/>
    <n v="0"/>
    <n v="5"/>
    <n v="0"/>
    <n v="100"/>
    <s v="Tópico 1 ER1 P1: 0/5 execuções falharam (0,0%),"/>
  </r>
  <r>
    <s v="Tópico 1"/>
    <s v="ER1"/>
    <x v="1"/>
    <n v="5"/>
    <n v="0"/>
    <n v="5"/>
    <n v="0"/>
    <n v="100"/>
    <s v="Tópico 1 ER1 P2: 0/5 execuções falharam (0,0%),"/>
  </r>
  <r>
    <s v="Tópico 1"/>
    <s v="ER1"/>
    <x v="2"/>
    <n v="5"/>
    <n v="0"/>
    <n v="5"/>
    <n v="0"/>
    <n v="100"/>
    <s v="Tópico 1 ER1 P3: 0/5 execuções falharam (0,0%),"/>
  </r>
  <r>
    <s v="Tópico 1"/>
    <s v="ER1"/>
    <x v="3"/>
    <n v="5"/>
    <n v="0"/>
    <n v="5"/>
    <n v="0"/>
    <n v="100"/>
    <s v="Tópico 1 ER1 P4: 0/5 execuções falharam (0,0%),"/>
  </r>
  <r>
    <s v="Tópico 1"/>
    <s v="ER2"/>
    <x v="0"/>
    <n v="5"/>
    <n v="5"/>
    <n v="0"/>
    <n v="100"/>
    <n v="0"/>
    <s v="Tópico 1 ER2 P1: 5/5 execuções falharam (100,0%),"/>
  </r>
  <r>
    <s v="Tópico 1"/>
    <s v="ER2"/>
    <x v="1"/>
    <n v="5"/>
    <n v="5"/>
    <n v="0"/>
    <n v="100"/>
    <n v="0"/>
    <s v="Tópico 1 ER2 P2: 5/5 execuções falharam (100,0%),"/>
  </r>
  <r>
    <s v="Tópico 1"/>
    <s v="ER2"/>
    <x v="2"/>
    <n v="5"/>
    <n v="0"/>
    <n v="5"/>
    <n v="0"/>
    <n v="100"/>
    <s v="Tópico 1 ER2 P3: 0/5 execuções falharam (0,0%),"/>
  </r>
  <r>
    <s v="Tópico 1"/>
    <s v="ER2"/>
    <x v="3"/>
    <n v="5"/>
    <n v="4"/>
    <n v="1"/>
    <n v="80"/>
    <n v="20"/>
    <s v="Tópico 1 ER2 P4: 4/5 execuções falharam (80,0%),"/>
  </r>
  <r>
    <s v="Tópico 1"/>
    <s v="ER3"/>
    <x v="0"/>
    <n v="5"/>
    <n v="5"/>
    <n v="0"/>
    <n v="100"/>
    <n v="0"/>
    <s v="Tópico 1 ER3 P1: 5/5 execuções falharam (100,0%),"/>
  </r>
  <r>
    <s v="Tópico 1"/>
    <s v="ER3"/>
    <x v="1"/>
    <n v="5"/>
    <n v="3"/>
    <n v="2"/>
    <n v="60"/>
    <n v="40"/>
    <s v="Tópico 1 ER3 P2: 3/5 execuções falharam (60,0%),"/>
  </r>
  <r>
    <s v="Tópico 1"/>
    <s v="ER3"/>
    <x v="2"/>
    <n v="5"/>
    <n v="1"/>
    <n v="4"/>
    <n v="20"/>
    <n v="80"/>
    <s v="Tópico 1 ER3 P3: 1/5 execuções falharam (20,0%),"/>
  </r>
  <r>
    <s v="Tópico 1"/>
    <s v="ER3"/>
    <x v="3"/>
    <n v="5"/>
    <n v="5"/>
    <n v="0"/>
    <n v="100"/>
    <n v="0"/>
    <s v="Tópico 1 ER3 P4: 5/5 execuções falharam (100,0%),"/>
  </r>
  <r>
    <s v="Tópico 1"/>
    <s v="PA1"/>
    <x v="0"/>
    <n v="5"/>
    <n v="0"/>
    <n v="5"/>
    <n v="0"/>
    <n v="100"/>
    <s v="Tópico 1 PA1 P1: 0/5 execuções falharam (0,0%),"/>
  </r>
  <r>
    <s v="Tópico 1"/>
    <s v="PA1"/>
    <x v="1"/>
    <n v="5"/>
    <n v="1"/>
    <n v="4"/>
    <n v="20"/>
    <n v="80"/>
    <s v="Tópico 1 PA1 P2: 1/5 execuções falharam (20,0%),"/>
  </r>
  <r>
    <s v="Tópico 1"/>
    <s v="PA1"/>
    <x v="2"/>
    <n v="5"/>
    <n v="0"/>
    <n v="5"/>
    <n v="0"/>
    <n v="100"/>
    <s v="Tópico 1 PA1 P3: 0/5 execuções falharam (0,0%),"/>
  </r>
  <r>
    <s v="Tópico 1"/>
    <s v="PA1"/>
    <x v="3"/>
    <n v="5"/>
    <n v="2"/>
    <n v="3"/>
    <n v="40"/>
    <n v="60"/>
    <s v="Tópico 1 PA1 P4: 2/5 execuções falharam (40,0%),"/>
  </r>
  <r>
    <s v="Tópico 1"/>
    <s v="PA2"/>
    <x v="0"/>
    <n v="5"/>
    <n v="3"/>
    <n v="2"/>
    <n v="60"/>
    <n v="40"/>
    <s v="Tópico 1 PA2 P1: 3/5 execuções falharam (60,0%),"/>
  </r>
  <r>
    <s v="Tópico 1"/>
    <s v="PA2"/>
    <x v="1"/>
    <n v="5"/>
    <n v="0"/>
    <n v="5"/>
    <n v="0"/>
    <n v="100"/>
    <s v="Tópico 1 PA2 P2: 0/5 execuções falharam (0,0%),"/>
  </r>
  <r>
    <s v="Tópico 1"/>
    <s v="PA2"/>
    <x v="2"/>
    <n v="5"/>
    <n v="0"/>
    <n v="5"/>
    <n v="0"/>
    <n v="100"/>
    <s v="Tópico 1 PA2 P3: 0/5 execuções falharam (0,0%),"/>
  </r>
  <r>
    <s v="Tópico 1"/>
    <s v="PA2"/>
    <x v="3"/>
    <n v="5"/>
    <n v="0"/>
    <n v="5"/>
    <n v="0"/>
    <n v="100"/>
    <s v="Tópico 1 PA2 P4: 0/5 execuções falharam (0,0%),"/>
  </r>
  <r>
    <s v="Tópico 2"/>
    <s v="ER1"/>
    <x v="0"/>
    <n v="5"/>
    <n v="5"/>
    <n v="0"/>
    <n v="100"/>
    <n v="0"/>
    <s v="Tópico 2 ER1 P1: 5/5 execuções falharam (100,0%),"/>
  </r>
  <r>
    <s v="Tópico 2"/>
    <s v="ER1"/>
    <x v="1"/>
    <n v="5"/>
    <n v="1"/>
    <n v="4"/>
    <n v="20"/>
    <n v="80"/>
    <s v="Tópico 2 ER1 P2: 1/5 execuções falharam (20,0%),"/>
  </r>
  <r>
    <s v="Tópico 2"/>
    <s v="ER1"/>
    <x v="2"/>
    <n v="5"/>
    <n v="0"/>
    <n v="5"/>
    <n v="0"/>
    <n v="100"/>
    <s v="Tópico 2 ER1 P3: 0/5 execuções falharam (0,0%),"/>
  </r>
  <r>
    <s v="Tópico 2"/>
    <s v="ER1"/>
    <x v="3"/>
    <n v="5"/>
    <n v="4"/>
    <n v="1"/>
    <n v="80"/>
    <n v="20"/>
    <s v="Tópico 2 ER1 P4: 4/5 execuções falharam (80,0%),"/>
  </r>
  <r>
    <s v="Tópico 2"/>
    <s v="ER2"/>
    <x v="0"/>
    <n v="5"/>
    <n v="2"/>
    <n v="3"/>
    <n v="40"/>
    <n v="60"/>
    <s v="Tópico 2 ER2 P1: 2/5 execuções falharam (40,0%),"/>
  </r>
  <r>
    <s v="Tópico 2"/>
    <s v="ER2"/>
    <x v="1"/>
    <n v="5"/>
    <n v="3"/>
    <n v="2"/>
    <n v="60"/>
    <n v="40"/>
    <s v="Tópico 2 ER2 P2: 3/5 execuções falharam (60,0%),"/>
  </r>
  <r>
    <s v="Tópico 2"/>
    <s v="ER2"/>
    <x v="2"/>
    <n v="5"/>
    <n v="0"/>
    <n v="5"/>
    <n v="0"/>
    <n v="100"/>
    <s v="Tópico 2 ER2 P3: 0/5 execuções falharam (0,0%),"/>
  </r>
  <r>
    <s v="Tópico 2"/>
    <s v="ER2"/>
    <x v="3"/>
    <n v="5"/>
    <n v="0"/>
    <n v="5"/>
    <n v="0"/>
    <n v="100"/>
    <s v="Tópico 2 ER2 P4: 0/5 execuções falharam (0,0%),"/>
  </r>
  <r>
    <s v="Tópico 2"/>
    <s v="PA1"/>
    <x v="0"/>
    <n v="5"/>
    <n v="0"/>
    <n v="5"/>
    <n v="0"/>
    <n v="100"/>
    <s v="Tópico 2 PA1 P1: 0/5 execuções falharam (0,0%),"/>
  </r>
  <r>
    <s v="Tópico 2"/>
    <s v="PA1"/>
    <x v="1"/>
    <n v="5"/>
    <n v="0"/>
    <n v="5"/>
    <n v="0"/>
    <n v="100"/>
    <s v="Tópico 2 PA1 P2: 0/5 execuções falharam (0,0%),"/>
  </r>
  <r>
    <s v="Tópico 2"/>
    <s v="PA1"/>
    <x v="2"/>
    <n v="5"/>
    <n v="0"/>
    <n v="5"/>
    <n v="0"/>
    <n v="100"/>
    <s v="Tópico 2 PA1 P3: 0/5 execuções falharam (0,0%),"/>
  </r>
  <r>
    <s v="Tópico 2"/>
    <s v="PA1"/>
    <x v="3"/>
    <n v="5"/>
    <n v="0"/>
    <n v="5"/>
    <n v="0"/>
    <n v="100"/>
    <s v="Tópico 2 PA1 P4: 0/5 execuções falharam (0,0%),"/>
  </r>
  <r>
    <s v="Tópico 2"/>
    <s v="PA2"/>
    <x v="0"/>
    <n v="5"/>
    <n v="4"/>
    <n v="1"/>
    <n v="80"/>
    <n v="20"/>
    <s v="Tópico 2 PA2 P1: 4/5 execuções falharam (80,0%),"/>
  </r>
  <r>
    <s v="Tópico 2"/>
    <s v="PA2"/>
    <x v="1"/>
    <n v="5"/>
    <n v="2"/>
    <n v="3"/>
    <n v="40"/>
    <n v="60"/>
    <s v="Tópico 2 PA2 P2: 2/5 execuções falharam (40,0%),"/>
  </r>
  <r>
    <s v="Tópico 2"/>
    <s v="PA2"/>
    <x v="2"/>
    <n v="5"/>
    <n v="0"/>
    <n v="5"/>
    <n v="0"/>
    <n v="100"/>
    <s v="Tópico 2 PA2 P3: 0/5 execuções falharam (0,0%),"/>
  </r>
  <r>
    <s v="Tópico 2"/>
    <s v="PA2"/>
    <x v="3"/>
    <n v="5"/>
    <n v="2"/>
    <n v="3"/>
    <n v="40"/>
    <n v="60"/>
    <s v="Tópico 2 PA2 P4: 2/5 execuções falharam (40,0%),"/>
  </r>
  <r>
    <s v="Tópico 3"/>
    <s v="ER1"/>
    <x v="0"/>
    <n v="5"/>
    <n v="5"/>
    <n v="0"/>
    <n v="100"/>
    <n v="0"/>
    <s v="Tópico 3 ER1 P1: 5/5 execuções falharam (100,0%),"/>
  </r>
  <r>
    <s v="Tópico 3"/>
    <s v="ER1"/>
    <x v="1"/>
    <n v="5"/>
    <n v="3"/>
    <n v="2"/>
    <n v="60"/>
    <n v="40"/>
    <s v="Tópico 3 ER1 P2: 3/5 execuções falharam (60,0%),"/>
  </r>
  <r>
    <s v="Tópico 3"/>
    <s v="ER1"/>
    <x v="2"/>
    <n v="5"/>
    <n v="0"/>
    <n v="5"/>
    <n v="0"/>
    <n v="100"/>
    <s v="Tópico 3 ER1 P3: 0/5 execuções falharam (0,0%),"/>
  </r>
  <r>
    <s v="Tópico 3"/>
    <s v="ER1"/>
    <x v="3"/>
    <n v="5"/>
    <n v="4"/>
    <n v="1"/>
    <n v="80"/>
    <n v="20"/>
    <s v="Tópico 3 ER1 P4: 4/5 execuções falharam (80,0%),"/>
  </r>
  <r>
    <s v="Tópico 3"/>
    <s v="ER2"/>
    <x v="0"/>
    <n v="5"/>
    <n v="0"/>
    <n v="5"/>
    <n v="0"/>
    <n v="100"/>
    <s v="Tópico 3 ER2 P1: 0/5 execuções falharam (0,0%),"/>
  </r>
  <r>
    <s v="Tópico 3"/>
    <s v="ER2"/>
    <x v="1"/>
    <n v="5"/>
    <n v="0"/>
    <n v="5"/>
    <n v="0"/>
    <n v="100"/>
    <s v="Tópico 3 ER2 P2: 0/5 execuções falharam (0,0%),"/>
  </r>
  <r>
    <s v="Tópico 3"/>
    <s v="ER2"/>
    <x v="2"/>
    <n v="5"/>
    <n v="0"/>
    <n v="5"/>
    <n v="0"/>
    <n v="100"/>
    <s v="Tópico 3 ER2 P3: 0/5 execuções falharam (0,0%),"/>
  </r>
  <r>
    <s v="Tópico 3"/>
    <s v="ER2"/>
    <x v="3"/>
    <n v="5"/>
    <n v="0"/>
    <n v="5"/>
    <n v="0"/>
    <n v="100"/>
    <s v="Tópico 3 ER2 P4: 0/5 execuções falharam (0,0%),"/>
  </r>
  <r>
    <s v="Tópico 3"/>
    <s v="PA1"/>
    <x v="0"/>
    <n v="5"/>
    <n v="4"/>
    <n v="1"/>
    <n v="80"/>
    <n v="20"/>
    <s v="Tópico 3 PA1 P1: 4/5 execuções falharam (80,0%),"/>
  </r>
  <r>
    <s v="Tópico 3"/>
    <s v="PA1"/>
    <x v="1"/>
    <n v="5"/>
    <n v="2"/>
    <n v="3"/>
    <n v="40"/>
    <n v="60"/>
    <s v="Tópico 3 PA1 P2: 2/5 execuções falharam (40,0%),"/>
  </r>
  <r>
    <s v="Tópico 3"/>
    <s v="PA1"/>
    <x v="2"/>
    <n v="5"/>
    <n v="2"/>
    <n v="3"/>
    <n v="40"/>
    <n v="60"/>
    <s v="Tópico 3 PA1 P3: 2/5 execuções falharam (40,0%),"/>
  </r>
  <r>
    <s v="Tópico 3"/>
    <s v="PA1"/>
    <x v="3"/>
    <n v="5"/>
    <n v="3"/>
    <n v="2"/>
    <n v="60"/>
    <n v="40"/>
    <s v="Tópico 3 PA1 P4: 3/5 execuções falharam (60,0%),"/>
  </r>
  <r>
    <s v="Tópico 3"/>
    <s v="PA2"/>
    <x v="0"/>
    <n v="5"/>
    <n v="2"/>
    <n v="3"/>
    <n v="40"/>
    <n v="60"/>
    <s v="Tópico 3 PA2 P1: 2/5 execuções falharam (40,0%),"/>
  </r>
  <r>
    <s v="Tópico 3"/>
    <s v="PA2"/>
    <x v="1"/>
    <n v="5"/>
    <n v="2"/>
    <n v="3"/>
    <n v="40"/>
    <n v="60"/>
    <s v="Tópico 3 PA2 P2: 2/5 execuções falharam (40,0%),"/>
  </r>
  <r>
    <s v="Tópico 3"/>
    <s v="PA2"/>
    <x v="2"/>
    <n v="5"/>
    <n v="0"/>
    <n v="5"/>
    <n v="0"/>
    <n v="100"/>
    <s v="Tópico 3 PA2 P3: 0/5 execuções falharam (0,0%),"/>
  </r>
  <r>
    <s v="Tópico 3"/>
    <s v="PA2"/>
    <x v="3"/>
    <n v="5"/>
    <n v="0"/>
    <n v="5"/>
    <n v="0"/>
    <n v="100"/>
    <s v="Tópico 3 PA2 P4: 0/5 execuções falharam (0,0%),"/>
  </r>
  <r>
    <s v="Tópico 4"/>
    <s v="ER1"/>
    <x v="0"/>
    <n v="5"/>
    <n v="4"/>
    <n v="1"/>
    <n v="80"/>
    <n v="20"/>
    <s v="Tópico 4 ER1 P1: 4/5 execuções falharam (80,0%),"/>
  </r>
  <r>
    <s v="Tópico 4"/>
    <s v="ER1"/>
    <x v="1"/>
    <n v="5"/>
    <n v="2"/>
    <n v="3"/>
    <n v="40"/>
    <n v="60"/>
    <s v="Tópico 4 ER1 P2: 2/5 execuções falharam (40,0%),"/>
  </r>
  <r>
    <s v="Tópico 4"/>
    <s v="ER1"/>
    <x v="2"/>
    <n v="5"/>
    <n v="0"/>
    <n v="5"/>
    <n v="0"/>
    <n v="100"/>
    <s v="Tópico 4 ER1 P3: 0/5 execuções falharam (0,0%),"/>
  </r>
  <r>
    <s v="Tópico 4"/>
    <s v="ER1"/>
    <x v="3"/>
    <n v="5"/>
    <n v="2"/>
    <n v="3"/>
    <n v="40"/>
    <n v="60"/>
    <s v="Tópico 4 ER1 P4: 2/5 execuções falharam (40,0%),"/>
  </r>
  <r>
    <s v="Tópico 4"/>
    <s v="ER2"/>
    <x v="0"/>
    <n v="5"/>
    <n v="2"/>
    <n v="3"/>
    <n v="40"/>
    <n v="60"/>
    <s v="Tópico 4 ER2 P1: 2/5 execuções falharam (40,0%),"/>
  </r>
  <r>
    <s v="Tópico 4"/>
    <s v="ER2"/>
    <x v="1"/>
    <n v="5"/>
    <n v="4"/>
    <n v="1"/>
    <n v="80"/>
    <n v="20"/>
    <s v="Tópico 4 ER2 P2: 4/5 execuções falharam (80,0%),"/>
  </r>
  <r>
    <s v="Tópico 4"/>
    <s v="ER2"/>
    <x v="2"/>
    <n v="5"/>
    <n v="0"/>
    <n v="5"/>
    <n v="0"/>
    <n v="100"/>
    <s v="Tópico 4 ER2 P3: 0/5 execuções falharam (0,0%),"/>
  </r>
  <r>
    <s v="Tópico 4"/>
    <s v="ER2"/>
    <x v="3"/>
    <n v="5"/>
    <n v="1"/>
    <n v="4"/>
    <n v="20"/>
    <n v="80"/>
    <s v="Tópico 4 ER2 P4: 1/5 execuções falharam (20,0%),"/>
  </r>
  <r>
    <s v="Tópico 4"/>
    <s v="PA1"/>
    <x v="0"/>
    <n v="5"/>
    <n v="2"/>
    <n v="3"/>
    <n v="40"/>
    <n v="60"/>
    <s v="Tópico 4 PA1 P1: 2/5 execuções falharam (40,0%),"/>
  </r>
  <r>
    <s v="Tópico 4"/>
    <s v="PA1"/>
    <x v="1"/>
    <n v="5"/>
    <n v="1"/>
    <n v="4"/>
    <n v="20"/>
    <n v="80"/>
    <s v="Tópico 4 PA1 P2: 1/5 execuções falharam (20,0%),"/>
  </r>
  <r>
    <s v="Tópico 4"/>
    <s v="PA1"/>
    <x v="2"/>
    <n v="5"/>
    <n v="0"/>
    <n v="5"/>
    <n v="0"/>
    <n v="100"/>
    <s v="Tópico 4 PA1 P3: 0/5 execuções falharam (0,0%),"/>
  </r>
  <r>
    <s v="Tópico 4"/>
    <s v="PA1"/>
    <x v="3"/>
    <n v="5"/>
    <n v="1"/>
    <n v="4"/>
    <n v="20"/>
    <n v="80"/>
    <s v="Tópico 4 PA1 P4: 1/5 execuções falharam (20,0%),"/>
  </r>
  <r>
    <s v="Tópico 4"/>
    <s v="PA2"/>
    <x v="0"/>
    <n v="5"/>
    <n v="5"/>
    <n v="0"/>
    <n v="100"/>
    <n v="0"/>
    <s v="Tópico 4 PA2 P1: 5/5 execuções falharam (100,0%),"/>
  </r>
  <r>
    <s v="Tópico 4"/>
    <s v="PA2"/>
    <x v="1"/>
    <n v="5"/>
    <n v="0"/>
    <n v="5"/>
    <n v="0"/>
    <n v="100"/>
    <s v="Tópico 4 PA2 P2: 0/5 execuções falharam (0,0%),"/>
  </r>
  <r>
    <s v="Tópico 4"/>
    <s v="PA2"/>
    <x v="2"/>
    <n v="5"/>
    <n v="0"/>
    <n v="5"/>
    <n v="0"/>
    <n v="100"/>
    <s v="Tópico 4 PA2 P3: 0/5 execuções falharam (0,0%),"/>
  </r>
  <r>
    <s v="Tópico 4"/>
    <s v="PA2"/>
    <x v="3"/>
    <n v="5"/>
    <n v="0"/>
    <n v="5"/>
    <n v="0"/>
    <n v="100"/>
    <s v="Tópico 4 PA2 P4: 0/5 execuções falharam (0,0%),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ópico 5"/>
    <s v="Cifra_Hibrida"/>
    <x v="0"/>
    <s v="ER1"/>
    <s v="ER"/>
    <n v="3"/>
    <s v="Geração insegura de chaves criptográficas ou chave com tamanho incorreto,"/>
    <n v="5"/>
    <n v="0"/>
    <n v="5"/>
    <n v="0"/>
    <n v="100"/>
    <n v="0"/>
    <s v="Tópico 5 Cifra_Hibrida P1 ER1: 0/5 execuções passaram (0,0%),"/>
  </r>
  <r>
    <s v="Tópico 5"/>
    <s v="Cifra_Hibrida"/>
    <x v="0"/>
    <s v="ER2"/>
    <s v="ER"/>
    <n v="3"/>
    <s v="Utilização incorreta de algoritmos, modos de operação ou bibliotecas criptográficas,"/>
    <n v="5"/>
    <n v="1"/>
    <n v="4"/>
    <n v="20"/>
    <n v="80"/>
    <n v="20"/>
    <s v="Tópico 5 Cifra_Hibrida P1 ER2: 1/5 execuções passaram (20,0%),"/>
  </r>
  <r>
    <s v="Tópico 5"/>
    <s v="Cifra_Hibrida"/>
    <x v="0"/>
    <s v="ER3"/>
    <s v="ER"/>
    <n v="3"/>
    <s v="Ausência ou implementação incorreta de criptografia híbrida quando aplicável,"/>
    <n v="5"/>
    <n v="3"/>
    <n v="2"/>
    <n v="60"/>
    <n v="40"/>
    <n v="60"/>
    <s v="Tópico 5 Cifra_Hibrida P1 ER3: 3/5 execuções passaram (60,0%),"/>
  </r>
  <r>
    <s v="Tópico 5"/>
    <s v="Cifra_Hibrida"/>
    <x v="0"/>
    <s v="PA1"/>
    <s v="PA"/>
    <n v="3"/>
    <s v="Armazenamento ou exposição insegura de chaves criptográficas,"/>
    <n v="5"/>
    <n v="4"/>
    <n v="1"/>
    <n v="80"/>
    <n v="20"/>
    <n v="80"/>
    <s v="Tópico 5 Cifra_Hibrida P1 PA1: 4/5 execuções passaram (80,0%),"/>
  </r>
  <r>
    <s v="Tópico 5"/>
    <s v="Cifra_Hibrida"/>
    <x v="0"/>
    <s v="PA2"/>
    <s v="PA"/>
    <n v="2"/>
    <s v="Gestão inadequada dos ficheiros produzidos durante a cifra ou decifra,"/>
    <n v="5"/>
    <n v="4"/>
    <n v="1"/>
    <n v="80"/>
    <n v="20"/>
    <n v="80"/>
    <s v="Tópico 5 Cifra_Hibrida P1 PA2: 4/5 execuções passaram (80,0%),"/>
  </r>
  <r>
    <s v="Tópico 5"/>
    <s v="Cifra_Hibrida"/>
    <x v="1"/>
    <s v="ER1"/>
    <s v="ER"/>
    <n v="3"/>
    <s v="Geração insegura de chaves criptográficas ou chave com tamanho incorreto,"/>
    <n v="5"/>
    <n v="0"/>
    <n v="5"/>
    <n v="0"/>
    <n v="100"/>
    <n v="0"/>
    <s v="Tópico 5 Cifra_Hibrida P2 ER1: 0/5 execuções passaram (0,0%),"/>
  </r>
  <r>
    <s v="Tópico 5"/>
    <s v="Cifra_Hibrida"/>
    <x v="1"/>
    <s v="ER2"/>
    <s v="ER"/>
    <n v="3"/>
    <s v="Utilização incorreta de algoritmos, modos de operação ou bibliotecas criptográficas,"/>
    <n v="5"/>
    <n v="1"/>
    <n v="4"/>
    <n v="20"/>
    <n v="80"/>
    <n v="20"/>
    <s v="Tópico 5 Cifra_Hibrida P2 ER2: 1/5 execuções passaram (20,0%),"/>
  </r>
  <r>
    <s v="Tópico 5"/>
    <s v="Cifra_Hibrida"/>
    <x v="1"/>
    <s v="ER3"/>
    <s v="ER"/>
    <n v="3"/>
    <s v="Ausência ou implementação incorreta de criptografia híbrida quando aplicável,"/>
    <n v="5"/>
    <n v="4"/>
    <n v="1"/>
    <n v="80"/>
    <n v="20"/>
    <n v="80"/>
    <s v="Tópico 5 Cifra_Hibrida P2 ER3: 4/5 execuções passaram (80,0%),"/>
  </r>
  <r>
    <s v="Tópico 5"/>
    <s v="Cifra_Hibrida"/>
    <x v="1"/>
    <s v="PA1"/>
    <s v="PA"/>
    <n v="3"/>
    <s v="Armazenamento ou exposição insegura de chaves criptográficas,"/>
    <n v="5"/>
    <n v="5"/>
    <n v="0"/>
    <n v="100"/>
    <n v="0"/>
    <n v="100"/>
    <s v="Tópico 5 Cifra_Hibrida P2 PA1: 5/5 execuções passaram (100,0%),"/>
  </r>
  <r>
    <s v="Tópico 5"/>
    <s v="Cifra_Hibrida"/>
    <x v="1"/>
    <s v="PA2"/>
    <s v="PA"/>
    <n v="2"/>
    <s v="Gestão inadequada dos ficheiros produzidos durante a cifra ou decifra,"/>
    <n v="5"/>
    <n v="4"/>
    <n v="1"/>
    <n v="80"/>
    <n v="20"/>
    <n v="80"/>
    <s v="Tópico 5 Cifra_Hibrida P2 PA2: 4/5 execuções passaram (80,0%),"/>
  </r>
  <r>
    <s v="Tópico 5"/>
    <s v="Cifra_Hibrida"/>
    <x v="2"/>
    <s v="ER1"/>
    <s v="ER"/>
    <n v="3"/>
    <s v="Geração insegura de chaves criptográficas ou chave com tamanho incorreto,"/>
    <n v="5"/>
    <n v="0"/>
    <n v="5"/>
    <n v="0"/>
    <n v="100"/>
    <n v="0"/>
    <s v="Tópico 5 Cifra_Hibrida P3 ER1: 0/5 execuções passaram (0,0%),"/>
  </r>
  <r>
    <s v="Tópico 5"/>
    <s v="Cifra_Hibrida"/>
    <x v="2"/>
    <s v="ER2"/>
    <s v="ER"/>
    <n v="3"/>
    <s v="Utilização incorreta de algoritmos, modos de operação ou bibliotecas criptográficas,"/>
    <n v="5"/>
    <n v="4"/>
    <n v="1"/>
    <n v="80"/>
    <n v="20"/>
    <n v="80"/>
    <s v="Tópico 5 Cifra_Hibrida P3 ER2: 4/5 execuções passaram (80,0%),"/>
  </r>
  <r>
    <s v="Tópico 5"/>
    <s v="Cifra_Hibrida"/>
    <x v="2"/>
    <s v="ER3"/>
    <s v="ER"/>
    <n v="3"/>
    <s v="Ausência ou implementação incorreta de criptografia híbrida quando aplicável,"/>
    <n v="5"/>
    <n v="4"/>
    <n v="1"/>
    <n v="80"/>
    <n v="20"/>
    <n v="80"/>
    <s v="Tópico 5 Cifra_Hibrida P3 ER3: 4/5 execuções passaram (80,0%),"/>
  </r>
  <r>
    <s v="Tópico 5"/>
    <s v="Cifra_Hibrida"/>
    <x v="2"/>
    <s v="PA1"/>
    <s v="PA"/>
    <n v="3"/>
    <s v="Armazenamento ou exposição insegura de chaves criptográficas,"/>
    <n v="5"/>
    <n v="0"/>
    <n v="5"/>
    <n v="0"/>
    <n v="100"/>
    <n v="0"/>
    <s v="Tópico 5 Cifra_Hibrida P3 PA1: 0/5 execuções passaram (0,0%),"/>
  </r>
  <r>
    <s v="Tópico 5"/>
    <s v="Cifra_Hibrida"/>
    <x v="2"/>
    <s v="PA2"/>
    <s v="PA"/>
    <n v="2"/>
    <s v="Gestão inadequada dos ficheiros produzidos durante a cifra ou decifra,"/>
    <n v="5"/>
    <n v="5"/>
    <n v="0"/>
    <n v="100"/>
    <n v="0"/>
    <n v="100"/>
    <s v="Tópico 5 Cifra_Hibrida P3 PA2: 5/5 execuções passaram (100,0%),"/>
  </r>
  <r>
    <s v="Tópico 5"/>
    <s v="Cifra_Hibrida"/>
    <x v="3"/>
    <s v="ER1"/>
    <s v="ER"/>
    <n v="3"/>
    <s v="Geração insegura de chaves criptográficas ou chave com tamanho incorreto,"/>
    <n v="5"/>
    <n v="1"/>
    <n v="4"/>
    <n v="20"/>
    <n v="80"/>
    <n v="20"/>
    <s v="Tópico 5 Cifra_Hibrida P4 ER1: 1/5 execuções passaram (20,0%),"/>
  </r>
  <r>
    <s v="Tópico 5"/>
    <s v="Cifra_Hibrida"/>
    <x v="3"/>
    <s v="ER2"/>
    <s v="ER"/>
    <n v="3"/>
    <s v="Utilização incorreta de algoritmos, modos de operação ou bibliotecas criptográficas,"/>
    <n v="5"/>
    <n v="2"/>
    <n v="3"/>
    <n v="40"/>
    <n v="60"/>
    <n v="40"/>
    <s v="Tópico 5 Cifra_Hibrida P4 ER2: 2/5 execuções passaram (40,0%),"/>
  </r>
  <r>
    <s v="Tópico 5"/>
    <s v="Cifra_Hibrida"/>
    <x v="3"/>
    <s v="ER3"/>
    <s v="ER"/>
    <n v="3"/>
    <s v="Ausência ou implementação incorreta de criptografia híbrida quando aplicável,"/>
    <n v="5"/>
    <n v="4"/>
    <n v="1"/>
    <n v="80"/>
    <n v="20"/>
    <n v="80"/>
    <s v="Tópico 5 Cifra_Hibrida P4 ER3: 4/5 execuções passaram (80,0%),"/>
  </r>
  <r>
    <s v="Tópico 5"/>
    <s v="Cifra_Hibrida"/>
    <x v="3"/>
    <s v="PA1"/>
    <s v="PA"/>
    <n v="3"/>
    <s v="Armazenamento ou exposição insegura de chaves criptográficas,"/>
    <n v="5"/>
    <n v="3"/>
    <n v="2"/>
    <n v="60"/>
    <n v="40"/>
    <n v="60"/>
    <s v="Tópico 5 Cifra_Hibrida P4 PA1: 3/5 execuções passaram (60,0%),"/>
  </r>
  <r>
    <s v="Tópico 5"/>
    <s v="Cifra_Hibrida"/>
    <x v="3"/>
    <s v="PA2"/>
    <s v="PA"/>
    <n v="2"/>
    <s v="Gestão inadequada dos ficheiros produzidos durante a cifra ou decifra,"/>
    <n v="5"/>
    <n v="5"/>
    <n v="0"/>
    <n v="100"/>
    <n v="0"/>
    <n v="100"/>
    <s v="Tópico 5 Cifra_Hibrida P4 PA2: 5/5 execuções passaram (100,0%),"/>
  </r>
  <r>
    <s v="Tópico 5"/>
    <s v="Cifra_Simetrica"/>
    <x v="0"/>
    <s v="ER1"/>
    <s v="ER"/>
    <n v="3"/>
    <s v="Geração insegura de chaves criptográficas ou chave com tamanho incorreto,"/>
    <n v="5"/>
    <n v="2"/>
    <n v="3"/>
    <n v="40"/>
    <n v="60"/>
    <n v="40"/>
    <s v="Tópico 5 Cifra_Simetrica P1 ER1: 2/5 execuções passaram (40,0%),"/>
  </r>
  <r>
    <s v="Tópico 5"/>
    <s v="Cifra_Simetrica"/>
    <x v="0"/>
    <s v="ER2"/>
    <s v="ER"/>
    <n v="3"/>
    <s v="Utilização incorreta de algoritmos, modos de operação ou bibliotecas criptográficas,"/>
    <n v="5"/>
    <n v="1"/>
    <n v="4"/>
    <n v="20"/>
    <n v="80"/>
    <n v="20"/>
    <s v="Tópico 5 Cifra_Simetrica P1 ER2: 1/5 execuções passaram (20,0%),"/>
  </r>
  <r>
    <s v="Tópico 5"/>
    <s v="Cifra_Simetrica"/>
    <x v="0"/>
    <s v="PA1"/>
    <s v="PA"/>
    <n v="3"/>
    <s v="Armazenamento ou exposição insegura de chaves criptográficas,"/>
    <n v="5"/>
    <n v="1"/>
    <n v="4"/>
    <n v="20"/>
    <n v="80"/>
    <n v="20"/>
    <s v="Tópico 5 Cifra_Simetrica P1 PA1: 1/5 execuções passaram (20,0%),"/>
  </r>
  <r>
    <s v="Tópico 5"/>
    <s v="Cifra_Simetrica"/>
    <x v="0"/>
    <s v="PA2"/>
    <s v="PA"/>
    <n v="2"/>
    <s v="Gestão inadequada dos ficheiros produzidos durante a cifra ou decifra,"/>
    <n v="5"/>
    <n v="3"/>
    <n v="2"/>
    <n v="60"/>
    <n v="40"/>
    <n v="60"/>
    <s v="Tópico 5 Cifra_Simetrica P1 PA2: 3/5 execuções passaram (60,0%),"/>
  </r>
  <r>
    <s v="Tópico 5"/>
    <s v="Cifra_Simetrica"/>
    <x v="1"/>
    <s v="ER1"/>
    <s v="ER"/>
    <n v="3"/>
    <s v="Geração insegura de chaves criptográficas ou chave com tamanho incorreto,"/>
    <n v="5"/>
    <n v="2"/>
    <n v="3"/>
    <n v="40"/>
    <n v="60"/>
    <n v="40"/>
    <s v="Tópico 5 Cifra_Simetrica P2 ER1: 2/5 execuções passaram (40,0%),"/>
  </r>
  <r>
    <s v="Tópico 5"/>
    <s v="Cifra_Simetrica"/>
    <x v="1"/>
    <s v="ER2"/>
    <s v="ER"/>
    <n v="3"/>
    <s v="Utilização incorreta de algoritmos, modos de operação ou bibliotecas criptográficas,"/>
    <n v="5"/>
    <n v="4"/>
    <n v="1"/>
    <n v="80"/>
    <n v="20"/>
    <n v="80"/>
    <s v="Tópico 5 Cifra_Simetrica P2 ER2: 4/5 execuções passaram (80,0%),"/>
  </r>
  <r>
    <s v="Tópico 5"/>
    <s v="Cifra_Simetrica"/>
    <x v="1"/>
    <s v="PA1"/>
    <s v="PA"/>
    <n v="3"/>
    <s v="Armazenamento ou exposição insegura de chaves criptográficas,"/>
    <n v="5"/>
    <n v="4"/>
    <n v="1"/>
    <n v="80"/>
    <n v="20"/>
    <n v="80"/>
    <s v="Tópico 5 Cifra_Simetrica P2 PA1: 4/5 execuções passaram (80,0%),"/>
  </r>
  <r>
    <s v="Tópico 5"/>
    <s v="Cifra_Simetrica"/>
    <x v="1"/>
    <s v="PA2"/>
    <s v="PA"/>
    <n v="2"/>
    <s v="Gestão inadequada dos ficheiros produzidos durante a cifra ou decifra,"/>
    <n v="5"/>
    <n v="5"/>
    <n v="0"/>
    <n v="100"/>
    <n v="0"/>
    <n v="100"/>
    <s v="Tópico 5 Cifra_Simetrica P2 PA2: 5/5 execuções passaram (100,0%),"/>
  </r>
  <r>
    <s v="Tópico 5"/>
    <s v="Cifra_Simetrica"/>
    <x v="2"/>
    <s v="ER1"/>
    <s v="ER"/>
    <n v="3"/>
    <s v="Geração insegura de chaves criptográficas ou chave com tamanho incorreto,"/>
    <n v="5"/>
    <n v="3"/>
    <n v="2"/>
    <n v="60"/>
    <n v="40"/>
    <n v="60"/>
    <s v="Tópico 5 Cifra_Simetrica P3 ER1: 3/5 execuções passaram (60,0%),"/>
  </r>
  <r>
    <s v="Tópico 5"/>
    <s v="Cifra_Simetric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Cifra_Simetrica P3 ER2: 5/5 execuções passaram (100,0%),"/>
  </r>
  <r>
    <s v="Tópico 5"/>
    <s v="Cifra_Simetrica"/>
    <x v="2"/>
    <s v="PA1"/>
    <s v="PA"/>
    <n v="3"/>
    <s v="Armazenamento ou exposição insegura de chaves criptográficas,"/>
    <n v="5"/>
    <n v="4"/>
    <n v="1"/>
    <n v="80"/>
    <n v="20"/>
    <n v="80"/>
    <s v="Tópico 5 Cifra_Simetrica P3 PA1: 4/5 execuções passaram (80,0%),"/>
  </r>
  <r>
    <s v="Tópico 5"/>
    <s v="Cifra_Simetrica"/>
    <x v="2"/>
    <s v="PA2"/>
    <s v="PA"/>
    <n v="2"/>
    <s v="Gestão inadequada dos ficheiros produzidos durante a cifra ou decifra,"/>
    <n v="5"/>
    <n v="5"/>
    <n v="0"/>
    <n v="100"/>
    <n v="0"/>
    <n v="100"/>
    <s v="Tópico 5 Cifra_Simetrica P3 PA2: 5/5 execuções passaram (100,0%),"/>
  </r>
  <r>
    <s v="Tópico 5"/>
    <s v="Cifra_Simetrica"/>
    <x v="3"/>
    <s v="ER1"/>
    <s v="ER"/>
    <n v="3"/>
    <s v="Geração insegura de chaves criptográficas ou chave com tamanho incorreto,"/>
    <n v="5"/>
    <n v="3"/>
    <n v="2"/>
    <n v="60"/>
    <n v="40"/>
    <n v="60"/>
    <s v="Tópico 5 Cifra_Simetrica P4 ER1: 3/5 execuções passaram (60,0%),"/>
  </r>
  <r>
    <s v="Tópico 5"/>
    <s v="Cifra_Simetrica"/>
    <x v="3"/>
    <s v="ER2"/>
    <s v="ER"/>
    <n v="3"/>
    <s v="Utilização incorreta de algoritmos, modos de operação ou bibliotecas criptográficas,"/>
    <n v="5"/>
    <n v="2"/>
    <n v="3"/>
    <n v="40"/>
    <n v="60"/>
    <n v="40"/>
    <s v="Tópico 5 Cifra_Simetrica P4 ER2: 2/5 execuções passaram (40,0%),"/>
  </r>
  <r>
    <s v="Tópico 5"/>
    <s v="Cifra_Simetrica"/>
    <x v="3"/>
    <s v="PA1"/>
    <s v="PA"/>
    <n v="3"/>
    <s v="Armazenamento ou exposição insegura de chaves criptográficas,"/>
    <n v="5"/>
    <n v="5"/>
    <n v="0"/>
    <n v="100"/>
    <n v="0"/>
    <n v="100"/>
    <s v="Tópico 5 Cifra_Simetrica P4 PA1: 5/5 execuções passaram (100,0%),"/>
  </r>
  <r>
    <s v="Tópico 5"/>
    <s v="Cifra_Simetrica"/>
    <x v="3"/>
    <s v="PA2"/>
    <s v="PA"/>
    <n v="2"/>
    <s v="Gestão inadequada dos ficheiros produzidos durante a cifra ou decifra,"/>
    <n v="5"/>
    <n v="5"/>
    <n v="0"/>
    <n v="100"/>
    <n v="0"/>
    <n v="100"/>
    <s v="Tópico 5 Cifra_Simetrica P4 PA2: 5/5 execuções passaram (100,0%),"/>
  </r>
  <r>
    <s v="Tópico 5"/>
    <s v="Decifra_Hibrida"/>
    <x v="0"/>
    <s v="ER2"/>
    <s v="ER"/>
    <n v="3"/>
    <s v="Utilização incorreta de algoritmos, modos de operação ou bibliotecas criptográficas,"/>
    <n v="5"/>
    <n v="1"/>
    <n v="4"/>
    <n v="20"/>
    <n v="80"/>
    <n v="20"/>
    <s v="Tópico 5 Decifra_Hibrida P1 ER2: 1/5 execuções passaram (20,0%),"/>
  </r>
  <r>
    <s v="Tópico 5"/>
    <s v="Decifra_Hibrida"/>
    <x v="0"/>
    <s v="ER3"/>
    <s v="ER"/>
    <n v="3"/>
    <s v="Ausência ou implementação incorreta de criptografia híbrida quando aplicável,"/>
    <n v="5"/>
    <n v="3"/>
    <n v="2"/>
    <n v="60"/>
    <n v="40"/>
    <n v="60"/>
    <s v="Tópico 5 Decifra_Hibrida P1 ER3: 3/5 execuções passaram (60,0%),"/>
  </r>
  <r>
    <s v="Tópico 5"/>
    <s v="Decifra_Hibrida"/>
    <x v="0"/>
    <s v="PA1"/>
    <s v="PA"/>
    <n v="3"/>
    <s v="Armazenamento ou exposição insegura de chaves criptográficas,"/>
    <n v="5"/>
    <n v="5"/>
    <n v="0"/>
    <n v="100"/>
    <n v="0"/>
    <n v="100"/>
    <s v="Tópico 5 Decifra_Hibrida P1 PA1: 5/5 execuções passaram (100,0%),"/>
  </r>
  <r>
    <s v="Tópico 5"/>
    <s v="Decifra_Hibrida"/>
    <x v="0"/>
    <s v="PA2"/>
    <s v="PA"/>
    <n v="2"/>
    <s v="Gestão inadequada dos ficheiros produzidos durante a cifra ou decifra,"/>
    <n v="5"/>
    <n v="3"/>
    <n v="2"/>
    <n v="60"/>
    <n v="40"/>
    <n v="60"/>
    <s v="Tópico 5 Decifra_Hibrida P1 PA2: 3/5 execuções passaram (60,0%),"/>
  </r>
  <r>
    <s v="Tópico 5"/>
    <s v="Decifra_Hibrida"/>
    <x v="1"/>
    <s v="ER2"/>
    <s v="ER"/>
    <n v="3"/>
    <s v="Utilização incorreta de algoritmos, modos de operação ou bibliotecas criptográficas,"/>
    <n v="5"/>
    <n v="3"/>
    <n v="2"/>
    <n v="60"/>
    <n v="40"/>
    <n v="60"/>
    <s v="Tópico 5 Decifra_Hibrida P2 ER2: 3/5 execuções passaram (60,0%),"/>
  </r>
  <r>
    <s v="Tópico 5"/>
    <s v="Decifra_Hibrida"/>
    <x v="1"/>
    <s v="ER3"/>
    <s v="ER"/>
    <n v="3"/>
    <s v="Ausência ou implementação incorreta de criptografia híbrida quando aplicável,"/>
    <n v="5"/>
    <n v="3"/>
    <n v="2"/>
    <n v="60"/>
    <n v="40"/>
    <n v="60"/>
    <s v="Tópico 5 Decifra_Hibrida P2 ER3: 3/5 execuções passaram (60,0%),"/>
  </r>
  <r>
    <s v="Tópico 5"/>
    <s v="Decifra_Hibrida"/>
    <x v="1"/>
    <s v="PA1"/>
    <s v="PA"/>
    <n v="3"/>
    <s v="Armazenamento ou exposição insegura de chaves criptográficas,"/>
    <n v="5"/>
    <n v="5"/>
    <n v="0"/>
    <n v="100"/>
    <n v="0"/>
    <n v="100"/>
    <s v="Tópico 5 Decifra_Hibrida P2 PA1: 5/5 execuções passaram (100,0%),"/>
  </r>
  <r>
    <s v="Tópico 5"/>
    <s v="Decifra_Hibrida"/>
    <x v="1"/>
    <s v="PA2"/>
    <s v="PA"/>
    <n v="2"/>
    <s v="Gestão inadequada dos ficheiros produzidos durante a cifra ou decifra,"/>
    <n v="5"/>
    <n v="4"/>
    <n v="1"/>
    <n v="80"/>
    <n v="20"/>
    <n v="80"/>
    <s v="Tópico 5 Decifra_Hibrida P2 PA2: 4/5 execuções passaram (80,0%),"/>
  </r>
  <r>
    <s v="Tópico 5"/>
    <s v="Decifra_Hibrida"/>
    <x v="2"/>
    <s v="ER2"/>
    <s v="ER"/>
    <n v="3"/>
    <s v="Utilização incorreta de algoritmos, modos de operação ou bibliotecas criptográficas,"/>
    <n v="5"/>
    <n v="5"/>
    <n v="0"/>
    <n v="100"/>
    <n v="0"/>
    <n v="100"/>
    <s v="Tópico 5 Decifra_Hibrida P3 ER2: 5/5 execuções passaram (100,0%),"/>
  </r>
  <r>
    <s v="Tópico 5"/>
    <s v="Decifra_Hibrida"/>
    <x v="2"/>
    <s v="ER3"/>
    <s v="ER"/>
    <n v="3"/>
    <s v="Ausência ou implementação incorreta de criptografia híbrida quando aplicável,"/>
    <n v="5"/>
    <n v="5"/>
    <n v="0"/>
    <n v="100"/>
    <n v="0"/>
    <n v="100"/>
    <s v="Tópico 5 Decifra_Hibrida P3 ER3: 5/5 execuções passaram (100,0%),"/>
  </r>
  <r>
    <s v="Tópico 5"/>
    <s v="Decifra_Hibrida"/>
    <x v="2"/>
    <s v="PA1"/>
    <s v="PA"/>
    <n v="3"/>
    <s v="Armazenamento ou exposição insegura de chaves criptográficas,"/>
    <n v="5"/>
    <n v="0"/>
    <n v="5"/>
    <n v="0"/>
    <n v="100"/>
    <n v="0"/>
    <s v="Tópico 5 Decifra_Hibrida P3 PA1: 0/5 execuções passaram (0,0%),"/>
  </r>
  <r>
    <s v="Tópico 5"/>
    <s v="Decifra_Hibrida"/>
    <x v="2"/>
    <s v="PA2"/>
    <s v="PA"/>
    <n v="2"/>
    <s v="Gestão inadequada dos ficheiros produzidos durante a cifra ou decifra,"/>
    <n v="5"/>
    <n v="5"/>
    <n v="0"/>
    <n v="100"/>
    <n v="0"/>
    <n v="100"/>
    <s v="Tópico 5 Decifra_Hibrida P3 PA2: 5/5 execuções passaram (100,0%),"/>
  </r>
  <r>
    <s v="Tópico 5"/>
    <s v="Decifra_Hibrida"/>
    <x v="3"/>
    <s v="ER2"/>
    <s v="ER"/>
    <n v="3"/>
    <s v="Utilização incorreta de algoritmos, modos de operação ou bibliotecas criptográficas,"/>
    <n v="5"/>
    <n v="0"/>
    <n v="5"/>
    <n v="0"/>
    <n v="100"/>
    <n v="0"/>
    <s v="Tópico 5 Decifra_Hibrida P4 ER2: 0/5 execuções passaram (0,0%),"/>
  </r>
  <r>
    <s v="Tópico 5"/>
    <s v="Decifra_Hibrida"/>
    <x v="3"/>
    <s v="ER3"/>
    <s v="ER"/>
    <n v="3"/>
    <s v="Ausência ou implementação incorreta de criptografia híbrida quando aplicável,"/>
    <n v="5"/>
    <n v="3"/>
    <n v="2"/>
    <n v="60"/>
    <n v="40"/>
    <n v="60"/>
    <s v="Tópico 5 Decifra_Hibrida P4 ER3: 3/5 execuções passaram (60,0%),"/>
  </r>
  <r>
    <s v="Tópico 5"/>
    <s v="Decifra_Hibrida"/>
    <x v="3"/>
    <s v="PA1"/>
    <s v="PA"/>
    <n v="3"/>
    <s v="Armazenamento ou exposição insegura de chaves criptográficas,"/>
    <n v="5"/>
    <n v="3"/>
    <n v="2"/>
    <n v="60"/>
    <n v="40"/>
    <n v="60"/>
    <s v="Tópico 5 Decifra_Hibrida P4 PA1: 3/5 execuções passaram (60,0%),"/>
  </r>
  <r>
    <s v="Tópico 5"/>
    <s v="Decifra_Hibrida"/>
    <x v="3"/>
    <s v="PA2"/>
    <s v="PA"/>
    <n v="2"/>
    <s v="Gestão inadequada dos ficheiros produzidos durante a cifra ou decifra,"/>
    <n v="5"/>
    <n v="5"/>
    <n v="0"/>
    <n v="100"/>
    <n v="0"/>
    <n v="100"/>
    <s v="Tópico 5 Decifra_Hibrida P4 PA2: 5/5 execuções passaram (100,0%),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8F3E9-ED3B-4417-BAD1-D797E49D3C6B}" name="Tabela Dinâmica15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5:E50" firstHeaderRow="1" firstDataRow="1" firstDataCol="1"/>
  <pivotFields count="1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EB27C-695F-4C8B-9771-EBD3575A3CE2}" name="Tabela Dinâmica14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B50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5E3AF-2CB9-425D-89A4-B4DD9F7390E4}" name="Tabela Dinâmica13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7:E42" firstHeaderRow="1" firstDataRow="1" firstDataCol="1"/>
  <pivotFields count="1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1905E-C64B-435B-AF47-1CC8D3FA6201}" name="Tabela Dinâmica1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42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D7D7D-6A3C-4FA1-9363-0EAD86CBDDAE}" name="Tabela Dinâmica1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7:E32" firstHeaderRow="1" firstDataRow="1" firstDataCol="1"/>
  <pivotFields count="13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3CE78-C337-45D8-8A11-81FE291F6DDF}" name="Tabela Dinâmica10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B32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C5FDF-FEBB-4473-A888-EFD234CF10BB}" name="Tabela Dinâmica9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9:E24" firstHeaderRow="1" firstDataRow="1" firstDataCol="1"/>
  <pivotFields count="13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57CB2-EA90-4615-841A-C26423D2DB39}" name="Tabela Dinâmica8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4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98689-281F-45F5-A3D4-E94C0A770D7A}" name="Tabela Dinâmica7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E14" firstHeaderRow="1" firstDataRow="1" firstDataCol="1"/>
  <pivotFields count="13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16084-F750-46B7-B976-DA89442098D2}" name="Tabela Dinâmica6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4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01209-E2F9-40CF-BE48-58EAF85584AA}" name="Tabela Dinâ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:E6" firstHeaderRow="1" firstDataRow="1" firstDataCol="1"/>
  <pivotFields count="1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2527C-F5D2-4C3B-BAA8-96A6AC1635DF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6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pass_rate_percent_auto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8C4B77-9367-4273-86BA-F182B4D6E13A}" autoFormatId="16" applyNumberFormats="0" applyBorderFormats="0" applyFontFormats="0" applyPatternFormats="0" applyAlignmentFormats="0" applyWidthHeightFormats="0">
  <queryTableRefresh nextId="13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  <queryTableDeletedFields count="3">
      <deletedField name="manual_fail_runs"/>
      <deletedField name="manual_pass_runs"/>
      <deletedField name="manual_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E7F39-0D7C-400B-A43E-1A4BE3D91F11}" name="resumo_qwen3_0_25" displayName="resumo_qwen3_0_25" ref="A1:I69" tableType="queryTable" totalsRowShown="0">
  <autoFilter ref="A1:I69" xr:uid="{272E7F39-0D7C-400B-A43E-1A4BE3D91F11}"/>
  <tableColumns count="9">
    <tableColumn id="1" xr3:uid="{E034E4AE-E26B-4835-84F6-6E8789D28F98}" uniqueName="1" name="topic" queryTableFieldId="1" dataDxfId="4"/>
    <tableColumn id="2" xr3:uid="{8135FD16-F56C-4BCF-8680-8D625E9B07BF}" uniqueName="2" name="scenario" queryTableFieldId="2" dataDxfId="3"/>
    <tableColumn id="3" xr3:uid="{B22A4092-F38A-4E0A-AAF7-344A0423B6E0}" uniqueName="3" name="prompt_no" queryTableFieldId="3"/>
    <tableColumn id="4" xr3:uid="{64CD764A-A687-459F-B5AD-BAE94113FE1C}" uniqueName="4" name="total_runs" queryTableFieldId="4"/>
    <tableColumn id="5" xr3:uid="{775C1A9E-FE3F-41CC-9FE8-4749743F1C0B}" uniqueName="5" name="fail_runs_auto" queryTableFieldId="5"/>
    <tableColumn id="6" xr3:uid="{B7014FE1-5FB4-4500-B862-C5006A1DE6EE}" uniqueName="6" name="pass_runs_auto" queryTableFieldId="6"/>
    <tableColumn id="7" xr3:uid="{7DB50417-287E-4E46-8773-A63F12D27229}" uniqueName="7" name="fail_rate_percent_auto" queryTableFieldId="7" dataDxfId="2"/>
    <tableColumn id="8" xr3:uid="{6AB03B61-48FE-4E68-A603-7046DBA9478C}" uniqueName="8" name="pass_rate_percent_auto" queryTableFieldId="8" dataDxfId="1"/>
    <tableColumn id="9" xr3:uid="{6295482E-23D2-48E4-80B3-BA7935159836}" uniqueName="9" name="summary_sentenc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B85472-E249-4362-B1C7-98300B3EFC2E}" name="Tabela4" displayName="Tabela4" ref="G2:H6" totalsRowShown="0">
  <autoFilter ref="G2:H6" xr:uid="{FEB85472-E249-4362-B1C7-98300B3EFC2E}"/>
  <tableColumns count="2">
    <tableColumn id="1" xr3:uid="{8EB5ACDC-22CA-45FC-B292-505B86462077}" name="Dados">
      <calculatedColumnFormula>A2</calculatedColumnFormula>
    </tableColumn>
    <tableColumn id="2" xr3:uid="{21FBA5DF-3294-418D-A5B7-1469210C326C}" name="Qwen3 0.25">
      <calculatedColumnFormula>AVERAGE(B2,E2)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ED5F36-84BB-4DE5-8093-126E061DB79C}" name="Tabela7" displayName="Tabela7" ref="G10:H14" totalsRowShown="0">
  <autoFilter ref="G10:H14" xr:uid="{C1ED5F36-84BB-4DE5-8093-126E061DB79C}"/>
  <tableColumns count="2">
    <tableColumn id="1" xr3:uid="{94090EE7-3A00-45DE-816E-F0083FCCBC1C}" name="Dados">
      <calculatedColumnFormula>A10</calculatedColumnFormula>
    </tableColumn>
    <tableColumn id="2" xr3:uid="{87853E9F-FB5F-43B9-BFD3-B7594B9838A6}" name="Qwen3 0.75">
      <calculatedColumnFormula>AVERAGE(B10,E10)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1E20AB-5203-4131-A560-56520BCB0F1E}" name="Tabela10" displayName="Tabela10" ref="G20:H24" totalsRowShown="0">
  <autoFilter ref="G20:H24" xr:uid="{281E20AB-5203-4131-A560-56520BCB0F1E}"/>
  <tableColumns count="2">
    <tableColumn id="1" xr3:uid="{7502537C-3094-4ADE-81EA-AA7529C15CEB}" name="Dados">
      <calculatedColumnFormula>A20</calculatedColumnFormula>
    </tableColumn>
    <tableColumn id="2" xr3:uid="{F0047247-D1D1-4937-A59C-8CB56D8C2A57}" name="Mistral 0.25">
      <calculatedColumnFormula>AVERAGE(B20,E20)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F601F2-D6BC-4626-A7A8-6E77CCDACEC1}" name="Tabela13" displayName="Tabela13" ref="G28:H32" totalsRowShown="0">
  <autoFilter ref="G28:H32" xr:uid="{28F601F2-D6BC-4626-A7A8-6E77CCDACEC1}"/>
  <tableColumns count="2">
    <tableColumn id="1" xr3:uid="{FA09F57A-28F5-424F-BEAD-30280D26A00B}" name="Dados">
      <calculatedColumnFormula>A28</calculatedColumnFormula>
    </tableColumn>
    <tableColumn id="2" xr3:uid="{06C54016-46B1-486B-B3C2-AD5034E7690A}" name="Mistral 0.75">
      <calculatedColumnFormula>AVERAGE(B28,E28)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470EF6C-0B15-4858-B04D-EB3683964049}" name="Tabela16" displayName="Tabela16" ref="G38:H42" totalsRowShown="0">
  <autoFilter ref="G38:H42" xr:uid="{4470EF6C-0B15-4858-B04D-EB3683964049}"/>
  <tableColumns count="2">
    <tableColumn id="1" xr3:uid="{5F31AD77-A052-4995-B561-B5864250FB2D}" name="Dados">
      <calculatedColumnFormula>A38</calculatedColumnFormula>
    </tableColumn>
    <tableColumn id="2" xr3:uid="{35AC73BD-B8E9-46D4-B7E7-6A4265F67ABD}" name="Llama 0.25">
      <calculatedColumnFormula>AVERAGE(B38,E38)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A8773BC-44F5-43CA-B3F2-62352480F2AA}" name="Tabela19" displayName="Tabela19" ref="G46:H50" totalsRowShown="0">
  <autoFilter ref="G46:H50" xr:uid="{FA8773BC-44F5-43CA-B3F2-62352480F2AA}"/>
  <tableColumns count="2">
    <tableColumn id="1" xr3:uid="{F425AB96-7BA4-41C4-9119-E382DF53DA5A}" name="Dados">
      <calculatedColumnFormula>A46</calculatedColumnFormula>
    </tableColumn>
    <tableColumn id="2" xr3:uid="{6C6C9B11-E684-4840-8F3B-4CB91428A4CF}" name="Llama 0.75">
      <calculatedColumnFormula>AVERAGE(B46,E46)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1A9A5B-80E9-47EE-B9CB-88F35C86A229}" name="Tabela18" displayName="Tabela18" ref="A1:N53" totalsRowShown="0">
  <autoFilter ref="A1:N53" xr:uid="{C61A9A5B-80E9-47EE-B9CB-88F35C86A229}"/>
  <tableColumns count="14">
    <tableColumn id="1" xr3:uid="{22486A85-E974-40FF-A5E6-D78AE9E2FF3F}" name="topic"/>
    <tableColumn id="2" xr3:uid="{9190653E-E04E-43C0-9576-4C801CB61BB5}" name="scenario"/>
    <tableColumn id="3" xr3:uid="{9610C7E3-7E75-4454-8FA5-9A46D6ED577A}" name="prompt_no"/>
    <tableColumn id="4" xr3:uid="{A0EEA7CE-DABD-445C-B885-CCCB524078A4}" name="criterio"/>
    <tableColumn id="5" xr3:uid="{4706F95B-21AE-4EBE-8AAE-27C967D5C4FF}" name="classe"/>
    <tableColumn id="6" xr3:uid="{23C24716-B153-4037-A738-93DBDC5B3DE8}" name="peso"/>
    <tableColumn id="7" xr3:uid="{CA3914F1-8CFA-4E4A-800F-3F6E816C064B}" name="descricao"/>
    <tableColumn id="8" xr3:uid="{8E0FD84F-11C9-44C4-AACA-F39F8CB82DD2}" name="total_runs"/>
    <tableColumn id="9" xr3:uid="{41680C22-5FFE-42C2-99EC-2B1C43E6C02E}" name="pass_runs"/>
    <tableColumn id="10" xr3:uid="{6BCC4D08-CDE8-40B3-9771-295F5056A84F}" name="fail_runs"/>
    <tableColumn id="11" xr3:uid="{E5936929-82C2-4469-8AD9-FDDF5BE12865}" name="pass_rate_percent"/>
    <tableColumn id="12" xr3:uid="{4D7C3E01-7918-4AD8-9EFE-C1133B5B6CAF}" name="fail_rate_percent"/>
    <tableColumn id="13" xr3:uid="{B1EC8840-544F-457C-9B63-5B0D1507A972}" name="score_criterio"/>
    <tableColumn id="14" xr3:uid="{154E66F9-BFB5-4C59-A855-6845DD49CC8C}" name="summary_sent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989220-4DFA-4D85-AF62-55A7C932542F}" name="Tabela17" displayName="Tabela17" ref="A1:I69" totalsRowShown="0">
  <autoFilter ref="A1:I69" xr:uid="{FE989220-4DFA-4D85-AF62-55A7C932542F}"/>
  <tableColumns count="9">
    <tableColumn id="1" xr3:uid="{C191BACC-85A3-4A45-957E-6F43AE27D161}" name="topic"/>
    <tableColumn id="2" xr3:uid="{273FAF60-19CE-498F-90BD-A9D8847DBE42}" name="scenario"/>
    <tableColumn id="3" xr3:uid="{D38BFFC1-A214-4200-89C9-7BAF394D860A}" name="prompt_no"/>
    <tableColumn id="4" xr3:uid="{094DDD2D-6A9E-4FA1-8E17-7729700B8E58}" name="total_runs"/>
    <tableColumn id="5" xr3:uid="{914B844B-058F-4BD7-8238-A9F2504D1A05}" name="fail_runs_auto"/>
    <tableColumn id="6" xr3:uid="{88BD0877-5F87-41A4-8A49-96BD7E482201}" name="pass_runs_auto"/>
    <tableColumn id="7" xr3:uid="{A6DD5D16-80EF-4058-98CC-1D1C69E564C1}" name="fail_rate_percent_auto"/>
    <tableColumn id="8" xr3:uid="{C7707C8B-057D-4AC5-8F1F-36AFE63CEA32}" name="pass_rate_percent_auto"/>
    <tableColumn id="9" xr3:uid="{71A7C917-CF54-4DA8-9CF8-4203EA2D9175}" name="summary_sent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B5FB44-6540-42B1-89FE-70981F1E7FA4}" name="Tabela15" displayName="Tabela15" ref="A1:N53" totalsRowShown="0">
  <autoFilter ref="A1:N53" xr:uid="{C6B5FB44-6540-42B1-89FE-70981F1E7FA4}"/>
  <tableColumns count="14">
    <tableColumn id="1" xr3:uid="{B1133F32-4220-49D4-BC23-C7150BE26752}" name="topic"/>
    <tableColumn id="2" xr3:uid="{DC807BED-219F-4DFE-90C1-5116139D06DE}" name="scenario"/>
    <tableColumn id="3" xr3:uid="{B1D365ED-EB34-4DDC-A824-315AF2646C30}" name="prompt_no"/>
    <tableColumn id="4" xr3:uid="{C336B0E7-91A5-4DC6-80A5-353EF662CCAA}" name="criterio"/>
    <tableColumn id="5" xr3:uid="{DED04125-2D6C-4E34-8367-ACCDE46A4091}" name="classe"/>
    <tableColumn id="6" xr3:uid="{F98E01C6-4B22-451C-A5B9-5B9E6BD95E88}" name="peso"/>
    <tableColumn id="7" xr3:uid="{AEA42BB2-0AEC-4369-8039-6FE305726817}" name="descricao"/>
    <tableColumn id="8" xr3:uid="{926206E3-7B4E-4A38-A916-DF7CD30D3E52}" name="total_runs"/>
    <tableColumn id="9" xr3:uid="{8142938D-93E0-4A28-A5C1-FBA50F1B164F}" name="pass_runs"/>
    <tableColumn id="10" xr3:uid="{E397A320-DC2A-4DB8-BC24-6F33AAB3D652}" name="fail_runs"/>
    <tableColumn id="11" xr3:uid="{0B12B8D1-CFA2-499F-9B02-3E6B618D80A2}" name="pass_rate_percent"/>
    <tableColumn id="12" xr3:uid="{952E3647-57D4-4E83-A4A0-0B0D903405DA}" name="fail_rate_percent"/>
    <tableColumn id="13" xr3:uid="{F4081690-FB96-4E0D-82D6-F64534A3943D}" name="score_criterio"/>
    <tableColumn id="14" xr3:uid="{BBFB76B0-2470-4C1B-B053-127BECE0A69A}" name="summary_sente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04892F3-40CC-42B5-9C79-C8D7707926FF}" name="Tabela14" displayName="Tabela14" ref="A1:I69" totalsRowShown="0">
  <autoFilter ref="A1:I69" xr:uid="{C04892F3-40CC-42B5-9C79-C8D7707926FF}"/>
  <tableColumns count="9">
    <tableColumn id="1" xr3:uid="{D11DD3A6-B701-4DAC-BE26-A2F5067EB0A6}" name="topic"/>
    <tableColumn id="2" xr3:uid="{46DBAACB-594D-4D5C-9AEE-77E0329568B7}" name="scenario"/>
    <tableColumn id="3" xr3:uid="{86C00E98-7555-4AF1-808C-BBB32DEC6ACC}" name="prompt_no"/>
    <tableColumn id="4" xr3:uid="{8A1D8CB8-A65D-4AD6-AE84-830E128CE499}" name="total_runs"/>
    <tableColumn id="5" xr3:uid="{817E3081-5065-4405-9484-38BF78BA3C5C}" name="fail_runs_auto"/>
    <tableColumn id="6" xr3:uid="{CE4E5D63-4E88-4D64-8CDD-BC30F43A9F74}" name="pass_runs_auto"/>
    <tableColumn id="7" xr3:uid="{57244101-3F06-46AE-B2BF-D6F414F27BBA}" name="fail_rate_percent_auto"/>
    <tableColumn id="8" xr3:uid="{B929E6A2-70C0-4AFC-87C4-EFE1A043F426}" name="pass_rate_percent_auto"/>
    <tableColumn id="9" xr3:uid="{360C3813-4ECF-4D53-B6AD-FDF4DB4ECDDA}" name="summary_sente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CFD914-88C7-4566-9DE6-E1E239AA1FBF}" name="Tabela12" displayName="Tabela12" ref="A1:M53" totalsRowShown="0">
  <autoFilter ref="A1:M53" xr:uid="{94CFD914-88C7-4566-9DE6-E1E239AA1FBF}"/>
  <tableColumns count="13">
    <tableColumn id="1" xr3:uid="{E47EFF9B-3757-4D78-891B-0F7062A71B0F}" name="topic"/>
    <tableColumn id="2" xr3:uid="{22F832FE-6450-4F82-AE07-863CE9723740}" name="scenario"/>
    <tableColumn id="3" xr3:uid="{4325BEC3-320D-4F47-B63C-824C12D5E421}" name="prompt_no"/>
    <tableColumn id="4" xr3:uid="{F6B5A40D-E579-4005-8293-DB788DBAD270}" name="criterio"/>
    <tableColumn id="5" xr3:uid="{8B4BC219-8E84-44E0-8250-5CB29E760832}" name="classe"/>
    <tableColumn id="6" xr3:uid="{BFC3A5A8-D956-47D8-9B50-EACF6CC01F4A}" name="peso"/>
    <tableColumn id="7" xr3:uid="{6D3313EB-0D78-4925-B4B6-A7B4C5BF07C6}" name="descricao"/>
    <tableColumn id="8" xr3:uid="{A4085AE5-6E11-4D61-8B3A-6FD773768D2A}" name="total_runs"/>
    <tableColumn id="9" xr3:uid="{A3E60CFA-7FCE-42D6-B9BD-21404368855C}" name="pass_runs"/>
    <tableColumn id="10" xr3:uid="{71774CC3-DBDB-471F-A281-69DDF2999134}" name="fail_runs"/>
    <tableColumn id="11" xr3:uid="{75E67056-7FE2-4B3A-BA33-03384BB0C4E6}" name="pass_rate_percent"/>
    <tableColumn id="12" xr3:uid="{2F32A1F9-368C-4C80-935F-9F13A00BD909}" name="fail_rate_percent"/>
    <tableColumn id="13" xr3:uid="{74F6952B-3D3F-4441-A3C4-B873212DD057}" name="score_criteri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39C930-C331-415B-9278-586EB76D6CF0}" name="Tabela11" displayName="Tabela11" ref="A1:I69" totalsRowShown="0">
  <autoFilter ref="A1:I69" xr:uid="{F639C930-C331-415B-9278-586EB76D6CF0}"/>
  <tableColumns count="9">
    <tableColumn id="1" xr3:uid="{E4A331C4-E5AE-4776-B523-D18403E24D44}" name="topic"/>
    <tableColumn id="2" xr3:uid="{DC3AAA39-69BC-4F47-B5EC-DF95682C9D16}" name="scenario"/>
    <tableColumn id="3" xr3:uid="{EE709A3B-36D8-42D3-9EA7-0F0B0E308EFE}" name="prompt_no"/>
    <tableColumn id="4" xr3:uid="{1E5709D2-90E8-455B-8D15-4A3153C3DD10}" name="total_runs"/>
    <tableColumn id="5" xr3:uid="{7E4296AE-6833-4C4E-AE3E-4DF2126CA2A4}" name="fail_runs_auto"/>
    <tableColumn id="6" xr3:uid="{D6164412-BEAC-4E27-A66F-B2BA9F9D04D8}" name="pass_runs_auto"/>
    <tableColumn id="7" xr3:uid="{216037C2-D1EB-4761-9945-207D89B7F3C6}" name="fail_rate_percent_auto"/>
    <tableColumn id="8" xr3:uid="{2F1EEBB8-A151-4CF5-8197-D4DE790E7075}" name="pass_rate_percent_auto"/>
    <tableColumn id="9" xr3:uid="{59F00369-D965-4C52-B778-ACD769CF4426}" name="summary_senten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B650AF-6B62-4CB2-84C7-86B6CF9FAB07}" name="Tabela9" displayName="Tabela9" ref="A1:M53" totalsRowShown="0">
  <autoFilter ref="A1:M53" xr:uid="{F5B650AF-6B62-4CB2-84C7-86B6CF9FAB07}"/>
  <tableColumns count="13">
    <tableColumn id="1" xr3:uid="{554AB53F-C810-44F2-995A-1AF5A523721D}" name="topic"/>
    <tableColumn id="2" xr3:uid="{DEB60C26-D61D-467A-87C9-80BBDB3D92FE}" name="scenario"/>
    <tableColumn id="3" xr3:uid="{E86A42FF-9B11-4FF6-B8B7-B0F8C1990C7D}" name="prompt_no"/>
    <tableColumn id="4" xr3:uid="{E4118F8D-EB72-442A-9D24-CE2B310168EF}" name="criterio"/>
    <tableColumn id="5" xr3:uid="{D47731B3-11AB-4166-A760-80F5FFB4F4FE}" name="classe"/>
    <tableColumn id="6" xr3:uid="{F9DBC024-FA8F-4214-9653-D26D4B47A784}" name="peso"/>
    <tableColumn id="7" xr3:uid="{709714D1-82C5-4DCB-A999-91485137E5D2}" name="descricao"/>
    <tableColumn id="8" xr3:uid="{FEE0B182-EA53-4CF1-BDFF-7D4A06B68783}" name="total_runs"/>
    <tableColumn id="9" xr3:uid="{F0123869-2152-4322-808C-A281FB2B026B}" name="pass_runs"/>
    <tableColumn id="10" xr3:uid="{774F4EB4-EC3E-43D4-953F-00AF62741D53}" name="fail_runs"/>
    <tableColumn id="11" xr3:uid="{5897B1A9-80CF-4F11-9C07-0A0727E182C5}" name="pass_rate_percent"/>
    <tableColumn id="12" xr3:uid="{C7AC0796-53BD-45FB-8421-69ED68915F16}" name="fail_rate_percent"/>
    <tableColumn id="13" xr3:uid="{E79478A4-7854-4C3F-849F-93A8333A36AC}" name="score_criteri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DA8581-9822-417B-8546-86B04E1CB092}" name="Tabela8" displayName="Tabela8" ref="A1:I69" totalsRowShown="0">
  <autoFilter ref="A1:I69" xr:uid="{47DA8581-9822-417B-8546-86B04E1CB092}"/>
  <tableColumns count="9">
    <tableColumn id="1" xr3:uid="{A29899FC-56C8-440D-A2F1-53B828E73967}" name="topic"/>
    <tableColumn id="2" xr3:uid="{18C5F52D-7D0B-4E6B-A468-E9F6FB1EE08B}" name="scenario"/>
    <tableColumn id="3" xr3:uid="{DF25AA2A-4C49-49B1-A511-D3779633FEB8}" name="prompt_no"/>
    <tableColumn id="4" xr3:uid="{BB3B449C-1F20-48C9-9F13-0E15C4B07275}" name="total_runs"/>
    <tableColumn id="5" xr3:uid="{8F16B115-3A97-4CB3-9F15-E51B8AAB815D}" name="fail_runs_auto"/>
    <tableColumn id="6" xr3:uid="{63DC534E-44E3-4C72-8CF0-F8C2778AA253}" name="pass_runs_auto"/>
    <tableColumn id="7" xr3:uid="{C62074B2-C5B5-4BFF-96AE-BC19798C9EA7}" name="fail_rate_percent_auto"/>
    <tableColumn id="8" xr3:uid="{902E5C84-DD6A-49EC-8F68-EFDFDE9B2D1C}" name="pass_rate_percent_auto"/>
    <tableColumn id="9" xr3:uid="{7FB7CCFE-20F5-4CEB-BD53-B554A47E05A9}" name="summary_senten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FDE17F-C190-498D-8082-06ADB53E1453}" name="Tabela2" displayName="Tabela2" ref="A1:N53" totalsRowShown="0">
  <autoFilter ref="A1:N53" xr:uid="{92FDE17F-C190-498D-8082-06ADB53E1453}"/>
  <tableColumns count="14">
    <tableColumn id="1" xr3:uid="{FB128F7C-21D1-46FA-81D5-616EB1301E26}" name="topic"/>
    <tableColumn id="2" xr3:uid="{A7EF8C4D-EE81-47C2-83AE-9B7C31676503}" name="scenario"/>
    <tableColumn id="3" xr3:uid="{FDC360B3-EED1-4699-B5E8-E59BE5639DE2}" name="prompt_no"/>
    <tableColumn id="4" xr3:uid="{50DA01CF-3D1D-4509-818C-FAE592A26C9C}" name="criterio"/>
    <tableColumn id="5" xr3:uid="{68BABEE0-34FF-4B15-AF20-0EF15067FF3B}" name="classe"/>
    <tableColumn id="6" xr3:uid="{B9B5B77A-087B-4F51-B1DD-8652553CC4CB}" name="peso"/>
    <tableColumn id="7" xr3:uid="{06C76939-9761-4125-8690-BB455BCB2D7A}" name="descricao"/>
    <tableColumn id="8" xr3:uid="{AA39C720-CEE4-4C34-9356-2915FE878A31}" name="total_runs"/>
    <tableColumn id="9" xr3:uid="{E3A1DC6F-F256-4BD7-9806-2499435BAF97}" name="pass_runs"/>
    <tableColumn id="10" xr3:uid="{4DF39632-2967-4508-B3A9-93EB602D072C}" name="fail_runs"/>
    <tableColumn id="11" xr3:uid="{89BDA61A-36AD-4C50-86AD-01C71E312F38}" name="pass_rate_percent"/>
    <tableColumn id="12" xr3:uid="{28FBEECB-4850-48B2-A9D6-BAF85BDD47CB}" name="fail_rate_percent"/>
    <tableColumn id="13" xr3:uid="{47399CBF-5450-4DBE-BBB4-28D60772BD51}" name="score_criterio"/>
    <tableColumn id="14" xr3:uid="{81ACE7B1-EC70-4295-A3B4-FFF1AE472C9E}" name="summary_sentence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35B18A-B67F-4D8B-B7A3-5ED05D51EB4A}" name="Tabela5" displayName="Tabela5" ref="A1:I69" totalsRowShown="0">
  <autoFilter ref="A1:I69" xr:uid="{D235B18A-B67F-4D8B-B7A3-5ED05D51EB4A}"/>
  <tableColumns count="9">
    <tableColumn id="1" xr3:uid="{9B52BFD8-5A6D-475A-A904-B0F040C1FF93}" name="topic"/>
    <tableColumn id="2" xr3:uid="{629E38D4-D135-4E00-92B6-1DC1027717E7}" name="scenario"/>
    <tableColumn id="3" xr3:uid="{7D7A578F-E4BF-48F4-879D-E652BF6EE3B8}" name="prompt_no"/>
    <tableColumn id="4" xr3:uid="{33571C59-FD5A-47C3-A9FD-1A9EE45695CF}" name="total_runs"/>
    <tableColumn id="5" xr3:uid="{22866A8E-7AFC-4D61-BBC0-A47E2B5A7740}" name="fail_runs_auto"/>
    <tableColumn id="6" xr3:uid="{1FBCCE73-7758-42C9-9044-2927CEC06E5E}" name="pass_runs_auto"/>
    <tableColumn id="7" xr3:uid="{A7D8CCD3-8B17-47F8-93F5-7954E9D72083}" name="fail_rate_percent_auto"/>
    <tableColumn id="8" xr3:uid="{D3EB1768-D3BE-4E7C-BF2F-85CF312FC8AE}" name="pass_rate_percent_auto"/>
    <tableColumn id="9" xr3:uid="{AE7B8B18-EDDD-4D1F-80CC-623D775DC6C2}" name="summary_senten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9A3994-B4CF-4351-921F-599F463E0582}" name="Tabela6" displayName="Tabela6" ref="A1:M53" totalsRowShown="0">
  <autoFilter ref="A1:M53" xr:uid="{329A3994-B4CF-4351-921F-599F463E0582}"/>
  <tableColumns count="13">
    <tableColumn id="1" xr3:uid="{06BD295F-BF02-44F3-80BF-AC7928A6658A}" name="topic"/>
    <tableColumn id="2" xr3:uid="{A880F367-AF15-47E5-9D96-ABEAE325B06B}" name="scenario"/>
    <tableColumn id="3" xr3:uid="{05B8DA2F-0AE8-4533-BB5B-36BB09526530}" name="prompt_no"/>
    <tableColumn id="4" xr3:uid="{9CB5ED86-079B-456C-A9DE-3A0043A0F124}" name="criterio"/>
    <tableColumn id="5" xr3:uid="{DA8CF300-3FCE-4D18-9208-658E84DC6446}" name="classe"/>
    <tableColumn id="6" xr3:uid="{A0523069-445B-4584-9CA8-ADF972B92415}" name="peso"/>
    <tableColumn id="7" xr3:uid="{7AD33D88-F810-4F30-B0EE-783B8342F6E0}" name="descricao"/>
    <tableColumn id="8" xr3:uid="{C4770642-91DD-4184-8FC7-C82DB5D04AC6}" name="total_runs"/>
    <tableColumn id="9" xr3:uid="{D65A27FD-22F1-4E84-968E-67C9CBF61F92}" name="pass_runs"/>
    <tableColumn id="10" xr3:uid="{8E91EDAD-12E3-42ED-89BE-D623DCC650C5}" name="fail_runs"/>
    <tableColumn id="11" xr3:uid="{A42D6630-BAF9-41CA-A2D4-2D32162C41CC}" name="pass_rate_percent"/>
    <tableColumn id="12" xr3:uid="{BE0690E5-999D-4FC5-9534-3C23C54C67F5}" name="fail_rate_percent"/>
    <tableColumn id="13" xr3:uid="{A95037DD-285A-45D7-B93D-08B31111B231}" name="score_crite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2.xml"/><Relationship Id="rId18" Type="http://schemas.openxmlformats.org/officeDocument/2006/relationships/table" Target="../tables/table7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5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4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F7AF-1851-4DAD-81EE-EB3ED36D9D2A}">
  <dimension ref="A1:I69"/>
  <sheetViews>
    <sheetView topLeftCell="A44" zoomScale="102" workbookViewId="0">
      <selection activeCell="H6" sqref="H6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2.21875" bestFit="1" customWidth="1"/>
    <col min="4" max="4" width="11.44140625" bestFit="1" customWidth="1"/>
    <col min="5" max="5" width="14.6640625" bestFit="1" customWidth="1"/>
    <col min="6" max="6" width="16" bestFit="1" customWidth="1"/>
    <col min="7" max="7" width="21.88671875" bestFit="1" customWidth="1"/>
    <col min="8" max="8" width="23.109375" bestFit="1" customWidth="1"/>
    <col min="9" max="9" width="42.77734375" bestFit="1" customWidth="1"/>
    <col min="10" max="10" width="17.33203125" bestFit="1" customWidth="1"/>
    <col min="11" max="11" width="18.5546875" bestFit="1" customWidth="1"/>
    <col min="12" max="12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</v>
      </c>
      <c r="D2">
        <v>5</v>
      </c>
      <c r="E2">
        <v>0</v>
      </c>
      <c r="F2">
        <v>5</v>
      </c>
      <c r="G2" s="1">
        <v>0</v>
      </c>
      <c r="H2" s="1">
        <v>100</v>
      </c>
      <c r="I2" s="1" t="s">
        <v>21</v>
      </c>
    </row>
    <row r="3" spans="1:9" x14ac:dyDescent="0.3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>
        <v>0</v>
      </c>
      <c r="H3" s="1">
        <v>100</v>
      </c>
      <c r="I3" s="1" t="s">
        <v>22</v>
      </c>
    </row>
    <row r="4" spans="1:9" x14ac:dyDescent="0.3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>
        <v>0</v>
      </c>
      <c r="H4" s="1">
        <v>100</v>
      </c>
      <c r="I4" s="1" t="s">
        <v>23</v>
      </c>
    </row>
    <row r="5" spans="1:9" x14ac:dyDescent="0.3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>
        <v>0</v>
      </c>
      <c r="H5" s="1">
        <v>100</v>
      </c>
      <c r="I5" s="1" t="s">
        <v>24</v>
      </c>
    </row>
    <row r="6" spans="1:9" x14ac:dyDescent="0.3">
      <c r="A6" s="1" t="s">
        <v>9</v>
      </c>
      <c r="B6" s="1" t="s">
        <v>11</v>
      </c>
      <c r="C6">
        <v>1</v>
      </c>
      <c r="D6">
        <v>5</v>
      </c>
      <c r="E6">
        <v>1</v>
      </c>
      <c r="F6">
        <v>4</v>
      </c>
      <c r="G6" s="1">
        <v>20</v>
      </c>
      <c r="H6" s="1">
        <v>80</v>
      </c>
      <c r="I6" s="1" t="s">
        <v>25</v>
      </c>
    </row>
    <row r="7" spans="1:9" x14ac:dyDescent="0.3">
      <c r="A7" s="1" t="s">
        <v>9</v>
      </c>
      <c r="B7" s="1" t="s">
        <v>11</v>
      </c>
      <c r="C7">
        <v>2</v>
      </c>
      <c r="D7">
        <v>5</v>
      </c>
      <c r="E7">
        <v>1</v>
      </c>
      <c r="F7">
        <v>4</v>
      </c>
      <c r="G7" s="1">
        <v>20</v>
      </c>
      <c r="H7" s="1">
        <v>80</v>
      </c>
      <c r="I7" s="1" t="s">
        <v>26</v>
      </c>
    </row>
    <row r="8" spans="1:9" x14ac:dyDescent="0.3">
      <c r="A8" s="1" t="s">
        <v>9</v>
      </c>
      <c r="B8" s="1" t="s">
        <v>11</v>
      </c>
      <c r="C8">
        <v>3</v>
      </c>
      <c r="D8">
        <v>5</v>
      </c>
      <c r="E8">
        <v>0</v>
      </c>
      <c r="F8">
        <v>5</v>
      </c>
      <c r="G8" s="1">
        <v>0</v>
      </c>
      <c r="H8" s="1">
        <v>100</v>
      </c>
      <c r="I8" s="1" t="s">
        <v>27</v>
      </c>
    </row>
    <row r="9" spans="1:9" x14ac:dyDescent="0.3">
      <c r="A9" s="1" t="s">
        <v>9</v>
      </c>
      <c r="B9" s="1" t="s">
        <v>11</v>
      </c>
      <c r="C9">
        <v>4</v>
      </c>
      <c r="D9">
        <v>5</v>
      </c>
      <c r="E9">
        <v>5</v>
      </c>
      <c r="F9">
        <v>0</v>
      </c>
      <c r="G9" s="1">
        <v>100</v>
      </c>
      <c r="H9" s="1">
        <v>0</v>
      </c>
      <c r="I9" s="1" t="s">
        <v>28</v>
      </c>
    </row>
    <row r="10" spans="1:9" x14ac:dyDescent="0.3">
      <c r="A10" s="1" t="s">
        <v>9</v>
      </c>
      <c r="B10" s="1" t="s">
        <v>12</v>
      </c>
      <c r="C10">
        <v>1</v>
      </c>
      <c r="D10">
        <v>5</v>
      </c>
      <c r="E10">
        <v>1</v>
      </c>
      <c r="F10">
        <v>4</v>
      </c>
      <c r="G10" s="1">
        <v>20</v>
      </c>
      <c r="H10" s="1">
        <v>80</v>
      </c>
      <c r="I10" s="1" t="s">
        <v>29</v>
      </c>
    </row>
    <row r="11" spans="1:9" x14ac:dyDescent="0.3">
      <c r="A11" s="1" t="s">
        <v>9</v>
      </c>
      <c r="B11" s="1" t="s">
        <v>12</v>
      </c>
      <c r="C11">
        <v>2</v>
      </c>
      <c r="D11">
        <v>5</v>
      </c>
      <c r="E11">
        <v>5</v>
      </c>
      <c r="F11">
        <v>0</v>
      </c>
      <c r="G11" s="1">
        <v>100</v>
      </c>
      <c r="H11" s="1">
        <v>0</v>
      </c>
      <c r="I11" s="1" t="s">
        <v>30</v>
      </c>
    </row>
    <row r="12" spans="1:9" x14ac:dyDescent="0.3">
      <c r="A12" s="1" t="s">
        <v>9</v>
      </c>
      <c r="B12" s="1" t="s">
        <v>12</v>
      </c>
      <c r="C12">
        <v>3</v>
      </c>
      <c r="D12">
        <v>5</v>
      </c>
      <c r="E12">
        <v>0</v>
      </c>
      <c r="F12">
        <v>5</v>
      </c>
      <c r="G12" s="1">
        <v>0</v>
      </c>
      <c r="H12" s="1">
        <v>100</v>
      </c>
      <c r="I12" s="1" t="s">
        <v>31</v>
      </c>
    </row>
    <row r="13" spans="1:9" x14ac:dyDescent="0.3">
      <c r="A13" s="1" t="s">
        <v>9</v>
      </c>
      <c r="B13" s="1" t="s">
        <v>12</v>
      </c>
      <c r="C13">
        <v>4</v>
      </c>
      <c r="D13">
        <v>5</v>
      </c>
      <c r="E13">
        <v>1</v>
      </c>
      <c r="F13">
        <v>4</v>
      </c>
      <c r="G13" s="1">
        <v>20</v>
      </c>
      <c r="H13" s="1">
        <v>80</v>
      </c>
      <c r="I13" s="1" t="s">
        <v>32</v>
      </c>
    </row>
    <row r="14" spans="1:9" x14ac:dyDescent="0.3">
      <c r="A14" s="1" t="s">
        <v>9</v>
      </c>
      <c r="B14" s="1" t="s">
        <v>13</v>
      </c>
      <c r="C14">
        <v>1</v>
      </c>
      <c r="D14">
        <v>5</v>
      </c>
      <c r="E14">
        <v>0</v>
      </c>
      <c r="F14">
        <v>5</v>
      </c>
      <c r="G14" s="1">
        <v>0</v>
      </c>
      <c r="H14" s="1">
        <v>100</v>
      </c>
      <c r="I14" s="1" t="s">
        <v>33</v>
      </c>
    </row>
    <row r="15" spans="1:9" x14ac:dyDescent="0.3">
      <c r="A15" s="1" t="s">
        <v>9</v>
      </c>
      <c r="B15" s="1" t="s">
        <v>13</v>
      </c>
      <c r="C15">
        <v>2</v>
      </c>
      <c r="D15">
        <v>5</v>
      </c>
      <c r="E15">
        <v>0</v>
      </c>
      <c r="F15">
        <v>5</v>
      </c>
      <c r="G15" s="1">
        <v>0</v>
      </c>
      <c r="H15" s="1">
        <v>100</v>
      </c>
      <c r="I15" s="1" t="s">
        <v>34</v>
      </c>
    </row>
    <row r="16" spans="1:9" x14ac:dyDescent="0.3">
      <c r="A16" s="1" t="s">
        <v>9</v>
      </c>
      <c r="B16" s="1" t="s">
        <v>13</v>
      </c>
      <c r="C16">
        <v>3</v>
      </c>
      <c r="D16">
        <v>5</v>
      </c>
      <c r="E16">
        <v>0</v>
      </c>
      <c r="F16">
        <v>5</v>
      </c>
      <c r="G16" s="1">
        <v>0</v>
      </c>
      <c r="H16" s="1">
        <v>100</v>
      </c>
      <c r="I16" s="1" t="s">
        <v>35</v>
      </c>
    </row>
    <row r="17" spans="1:9" x14ac:dyDescent="0.3">
      <c r="A17" s="1" t="s">
        <v>9</v>
      </c>
      <c r="B17" s="1" t="s">
        <v>13</v>
      </c>
      <c r="C17">
        <v>4</v>
      </c>
      <c r="D17">
        <v>5</v>
      </c>
      <c r="E17">
        <v>4</v>
      </c>
      <c r="F17">
        <v>1</v>
      </c>
      <c r="G17" s="1">
        <v>80</v>
      </c>
      <c r="H17" s="1">
        <v>20</v>
      </c>
      <c r="I17" s="1" t="s">
        <v>36</v>
      </c>
    </row>
    <row r="18" spans="1:9" x14ac:dyDescent="0.3">
      <c r="A18" s="1" t="s">
        <v>9</v>
      </c>
      <c r="B18" s="1" t="s">
        <v>14</v>
      </c>
      <c r="C18">
        <v>1</v>
      </c>
      <c r="D18">
        <v>5</v>
      </c>
      <c r="E18">
        <v>0</v>
      </c>
      <c r="F18">
        <v>5</v>
      </c>
      <c r="G18" s="1">
        <v>0</v>
      </c>
      <c r="H18" s="1">
        <v>100</v>
      </c>
      <c r="I18" s="1" t="s">
        <v>37</v>
      </c>
    </row>
    <row r="19" spans="1:9" x14ac:dyDescent="0.3">
      <c r="A19" s="1" t="s">
        <v>9</v>
      </c>
      <c r="B19" s="1" t="s">
        <v>14</v>
      </c>
      <c r="C19">
        <v>2</v>
      </c>
      <c r="D19">
        <v>5</v>
      </c>
      <c r="E19">
        <v>0</v>
      </c>
      <c r="F19">
        <v>5</v>
      </c>
      <c r="G19" s="1">
        <v>0</v>
      </c>
      <c r="H19" s="1">
        <v>100</v>
      </c>
      <c r="I19" s="1" t="s">
        <v>38</v>
      </c>
    </row>
    <row r="20" spans="1:9" x14ac:dyDescent="0.3">
      <c r="A20" s="1" t="s">
        <v>9</v>
      </c>
      <c r="B20" s="1" t="s">
        <v>14</v>
      </c>
      <c r="C20">
        <v>3</v>
      </c>
      <c r="D20">
        <v>5</v>
      </c>
      <c r="E20">
        <v>0</v>
      </c>
      <c r="F20">
        <v>5</v>
      </c>
      <c r="G20" s="1">
        <v>0</v>
      </c>
      <c r="H20" s="1">
        <v>100</v>
      </c>
      <c r="I20" s="1" t="s">
        <v>39</v>
      </c>
    </row>
    <row r="21" spans="1:9" x14ac:dyDescent="0.3">
      <c r="A21" s="1" t="s">
        <v>9</v>
      </c>
      <c r="B21" s="1" t="s">
        <v>14</v>
      </c>
      <c r="C21">
        <v>4</v>
      </c>
      <c r="D21">
        <v>5</v>
      </c>
      <c r="E21">
        <v>0</v>
      </c>
      <c r="F21">
        <v>5</v>
      </c>
      <c r="G21" s="1">
        <v>0</v>
      </c>
      <c r="H21" s="1">
        <v>100</v>
      </c>
      <c r="I21" s="1" t="s">
        <v>40</v>
      </c>
    </row>
    <row r="22" spans="1:9" x14ac:dyDescent="0.3">
      <c r="A22" s="1" t="s">
        <v>15</v>
      </c>
      <c r="B22" s="1" t="s">
        <v>10</v>
      </c>
      <c r="C22">
        <v>1</v>
      </c>
      <c r="D22">
        <v>5</v>
      </c>
      <c r="E22">
        <v>0</v>
      </c>
      <c r="F22">
        <v>5</v>
      </c>
      <c r="G22" s="1">
        <v>0</v>
      </c>
      <c r="H22" s="1">
        <v>100</v>
      </c>
      <c r="I22" s="1" t="s">
        <v>41</v>
      </c>
    </row>
    <row r="23" spans="1:9" x14ac:dyDescent="0.3">
      <c r="A23" s="1" t="s">
        <v>15</v>
      </c>
      <c r="B23" s="1" t="s">
        <v>10</v>
      </c>
      <c r="C23">
        <v>2</v>
      </c>
      <c r="D23">
        <v>5</v>
      </c>
      <c r="E23">
        <v>0</v>
      </c>
      <c r="F23">
        <v>5</v>
      </c>
      <c r="G23" s="1">
        <v>0</v>
      </c>
      <c r="H23" s="1">
        <v>100</v>
      </c>
      <c r="I23" s="1" t="s">
        <v>42</v>
      </c>
    </row>
    <row r="24" spans="1:9" x14ac:dyDescent="0.3">
      <c r="A24" s="1" t="s">
        <v>15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>
        <v>0</v>
      </c>
      <c r="H24" s="1">
        <v>100</v>
      </c>
      <c r="I24" s="1" t="s">
        <v>43</v>
      </c>
    </row>
    <row r="25" spans="1:9" x14ac:dyDescent="0.3">
      <c r="A25" s="1" t="s">
        <v>15</v>
      </c>
      <c r="B25" s="1" t="s">
        <v>10</v>
      </c>
      <c r="C25">
        <v>4</v>
      </c>
      <c r="D25">
        <v>5</v>
      </c>
      <c r="E25">
        <v>5</v>
      </c>
      <c r="F25">
        <v>0</v>
      </c>
      <c r="G25" s="1">
        <v>100</v>
      </c>
      <c r="H25" s="1">
        <v>0</v>
      </c>
      <c r="I25" s="1" t="s">
        <v>44</v>
      </c>
    </row>
    <row r="26" spans="1:9" x14ac:dyDescent="0.3">
      <c r="A26" s="1" t="s">
        <v>15</v>
      </c>
      <c r="B26" s="1" t="s">
        <v>11</v>
      </c>
      <c r="C26">
        <v>1</v>
      </c>
      <c r="D26">
        <v>5</v>
      </c>
      <c r="E26">
        <v>3</v>
      </c>
      <c r="F26">
        <v>2</v>
      </c>
      <c r="G26" s="1">
        <v>60</v>
      </c>
      <c r="H26" s="1">
        <v>40</v>
      </c>
      <c r="I26" s="1" t="s">
        <v>45</v>
      </c>
    </row>
    <row r="27" spans="1:9" x14ac:dyDescent="0.3">
      <c r="A27" s="1" t="s">
        <v>15</v>
      </c>
      <c r="B27" s="1" t="s">
        <v>11</v>
      </c>
      <c r="C27">
        <v>2</v>
      </c>
      <c r="D27">
        <v>5</v>
      </c>
      <c r="E27">
        <v>5</v>
      </c>
      <c r="F27">
        <v>0</v>
      </c>
      <c r="G27" s="1">
        <v>100</v>
      </c>
      <c r="H27" s="1">
        <v>0</v>
      </c>
      <c r="I27" s="1" t="s">
        <v>46</v>
      </c>
    </row>
    <row r="28" spans="1:9" x14ac:dyDescent="0.3">
      <c r="A28" s="1" t="s">
        <v>15</v>
      </c>
      <c r="B28" s="1" t="s">
        <v>11</v>
      </c>
      <c r="C28">
        <v>3</v>
      </c>
      <c r="D28">
        <v>5</v>
      </c>
      <c r="E28">
        <v>0</v>
      </c>
      <c r="F28">
        <v>5</v>
      </c>
      <c r="G28" s="1">
        <v>0</v>
      </c>
      <c r="H28" s="1">
        <v>100</v>
      </c>
      <c r="I28" s="1" t="s">
        <v>47</v>
      </c>
    </row>
    <row r="29" spans="1:9" x14ac:dyDescent="0.3">
      <c r="A29" s="1" t="s">
        <v>15</v>
      </c>
      <c r="B29" s="1" t="s">
        <v>11</v>
      </c>
      <c r="C29">
        <v>4</v>
      </c>
      <c r="D29">
        <v>5</v>
      </c>
      <c r="E29">
        <v>3</v>
      </c>
      <c r="F29">
        <v>2</v>
      </c>
      <c r="G29" s="1">
        <v>60</v>
      </c>
      <c r="H29" s="1">
        <v>40</v>
      </c>
      <c r="I29" s="1" t="s">
        <v>48</v>
      </c>
    </row>
    <row r="30" spans="1:9" x14ac:dyDescent="0.3">
      <c r="A30" s="1" t="s">
        <v>15</v>
      </c>
      <c r="B30" s="1" t="s">
        <v>13</v>
      </c>
      <c r="C30">
        <v>1</v>
      </c>
      <c r="D30">
        <v>5</v>
      </c>
      <c r="E30">
        <v>0</v>
      </c>
      <c r="F30">
        <v>5</v>
      </c>
      <c r="G30" s="1">
        <v>0</v>
      </c>
      <c r="H30" s="1">
        <v>100</v>
      </c>
      <c r="I30" s="1" t="s">
        <v>49</v>
      </c>
    </row>
    <row r="31" spans="1:9" x14ac:dyDescent="0.3">
      <c r="A31" s="1" t="s">
        <v>15</v>
      </c>
      <c r="B31" s="1" t="s">
        <v>13</v>
      </c>
      <c r="C31">
        <v>2</v>
      </c>
      <c r="D31">
        <v>5</v>
      </c>
      <c r="E31">
        <v>1</v>
      </c>
      <c r="F31">
        <v>4</v>
      </c>
      <c r="G31" s="1">
        <v>20</v>
      </c>
      <c r="H31" s="1">
        <v>80</v>
      </c>
      <c r="I31" s="1" t="s">
        <v>50</v>
      </c>
    </row>
    <row r="32" spans="1:9" x14ac:dyDescent="0.3">
      <c r="A32" s="1" t="s">
        <v>15</v>
      </c>
      <c r="B32" s="1" t="s">
        <v>13</v>
      </c>
      <c r="C32">
        <v>3</v>
      </c>
      <c r="D32">
        <v>5</v>
      </c>
      <c r="E32">
        <v>0</v>
      </c>
      <c r="F32">
        <v>5</v>
      </c>
      <c r="G32" s="1">
        <v>0</v>
      </c>
      <c r="H32" s="1">
        <v>100</v>
      </c>
      <c r="I32" s="1" t="s">
        <v>51</v>
      </c>
    </row>
    <row r="33" spans="1:9" x14ac:dyDescent="0.3">
      <c r="A33" s="1" t="s">
        <v>15</v>
      </c>
      <c r="B33" s="1" t="s">
        <v>13</v>
      </c>
      <c r="C33">
        <v>4</v>
      </c>
      <c r="D33">
        <v>5</v>
      </c>
      <c r="E33">
        <v>5</v>
      </c>
      <c r="F33">
        <v>0</v>
      </c>
      <c r="G33" s="1">
        <v>100</v>
      </c>
      <c r="H33" s="1">
        <v>0</v>
      </c>
      <c r="I33" s="1" t="s">
        <v>52</v>
      </c>
    </row>
    <row r="34" spans="1:9" x14ac:dyDescent="0.3">
      <c r="A34" s="1" t="s">
        <v>15</v>
      </c>
      <c r="B34" s="1" t="s">
        <v>14</v>
      </c>
      <c r="C34">
        <v>1</v>
      </c>
      <c r="D34">
        <v>5</v>
      </c>
      <c r="E34">
        <v>2</v>
      </c>
      <c r="F34">
        <v>3</v>
      </c>
      <c r="G34" s="1">
        <v>40</v>
      </c>
      <c r="H34" s="1">
        <v>60</v>
      </c>
      <c r="I34" s="1" t="s">
        <v>53</v>
      </c>
    </row>
    <row r="35" spans="1:9" x14ac:dyDescent="0.3">
      <c r="A35" s="1" t="s">
        <v>15</v>
      </c>
      <c r="B35" s="1" t="s">
        <v>14</v>
      </c>
      <c r="C35">
        <v>2</v>
      </c>
      <c r="D35">
        <v>5</v>
      </c>
      <c r="E35">
        <v>1</v>
      </c>
      <c r="F35">
        <v>4</v>
      </c>
      <c r="G35" s="1">
        <v>20</v>
      </c>
      <c r="H35" s="1">
        <v>80</v>
      </c>
      <c r="I35" s="1" t="s">
        <v>54</v>
      </c>
    </row>
    <row r="36" spans="1:9" x14ac:dyDescent="0.3">
      <c r="A36" s="1" t="s">
        <v>15</v>
      </c>
      <c r="B36" s="1" t="s">
        <v>14</v>
      </c>
      <c r="C36">
        <v>3</v>
      </c>
      <c r="D36">
        <v>5</v>
      </c>
      <c r="E36">
        <v>0</v>
      </c>
      <c r="F36">
        <v>5</v>
      </c>
      <c r="G36" s="1">
        <v>0</v>
      </c>
      <c r="H36" s="1">
        <v>100</v>
      </c>
      <c r="I36" s="1" t="s">
        <v>55</v>
      </c>
    </row>
    <row r="37" spans="1:9" x14ac:dyDescent="0.3">
      <c r="A37" s="1" t="s">
        <v>15</v>
      </c>
      <c r="B37" s="1" t="s">
        <v>14</v>
      </c>
      <c r="C37">
        <v>4</v>
      </c>
      <c r="D37">
        <v>5</v>
      </c>
      <c r="E37">
        <v>5</v>
      </c>
      <c r="F37">
        <v>0</v>
      </c>
      <c r="G37" s="1">
        <v>100</v>
      </c>
      <c r="H37" s="1">
        <v>0</v>
      </c>
      <c r="I37" s="1" t="s">
        <v>56</v>
      </c>
    </row>
    <row r="38" spans="1:9" x14ac:dyDescent="0.3">
      <c r="A38" s="1" t="s">
        <v>16</v>
      </c>
      <c r="B38" s="1" t="s">
        <v>10</v>
      </c>
      <c r="C38">
        <v>1</v>
      </c>
      <c r="D38">
        <v>5</v>
      </c>
      <c r="E38">
        <v>3</v>
      </c>
      <c r="F38">
        <v>2</v>
      </c>
      <c r="G38" s="1">
        <v>60</v>
      </c>
      <c r="H38" s="1">
        <v>40</v>
      </c>
      <c r="I38" s="1" t="s">
        <v>57</v>
      </c>
    </row>
    <row r="39" spans="1:9" x14ac:dyDescent="0.3">
      <c r="A39" s="1" t="s">
        <v>16</v>
      </c>
      <c r="B39" s="1" t="s">
        <v>10</v>
      </c>
      <c r="C39">
        <v>2</v>
      </c>
      <c r="D39">
        <v>5</v>
      </c>
      <c r="E39">
        <v>5</v>
      </c>
      <c r="F39">
        <v>0</v>
      </c>
      <c r="G39" s="1">
        <v>100</v>
      </c>
      <c r="H39" s="1">
        <v>0</v>
      </c>
      <c r="I39" s="1" t="s">
        <v>58</v>
      </c>
    </row>
    <row r="40" spans="1:9" x14ac:dyDescent="0.3">
      <c r="A40" s="1" t="s">
        <v>16</v>
      </c>
      <c r="B40" s="1" t="s">
        <v>10</v>
      </c>
      <c r="C40">
        <v>3</v>
      </c>
      <c r="D40">
        <v>5</v>
      </c>
      <c r="E40">
        <v>4</v>
      </c>
      <c r="F40">
        <v>1</v>
      </c>
      <c r="G40" s="1">
        <v>80</v>
      </c>
      <c r="H40" s="1">
        <v>20</v>
      </c>
      <c r="I40" s="1" t="s">
        <v>59</v>
      </c>
    </row>
    <row r="41" spans="1:9" x14ac:dyDescent="0.3">
      <c r="A41" s="1" t="s">
        <v>16</v>
      </c>
      <c r="B41" s="1" t="s">
        <v>10</v>
      </c>
      <c r="C41">
        <v>4</v>
      </c>
      <c r="D41">
        <v>5</v>
      </c>
      <c r="E41">
        <v>2</v>
      </c>
      <c r="F41">
        <v>3</v>
      </c>
      <c r="G41" s="1">
        <v>40</v>
      </c>
      <c r="H41" s="1">
        <v>60</v>
      </c>
      <c r="I41" s="1" t="s">
        <v>60</v>
      </c>
    </row>
    <row r="42" spans="1:9" x14ac:dyDescent="0.3">
      <c r="A42" s="1" t="s">
        <v>16</v>
      </c>
      <c r="B42" s="1" t="s">
        <v>11</v>
      </c>
      <c r="C42">
        <v>1</v>
      </c>
      <c r="D42">
        <v>5</v>
      </c>
      <c r="E42">
        <v>0</v>
      </c>
      <c r="F42">
        <v>5</v>
      </c>
      <c r="G42" s="1">
        <v>0</v>
      </c>
      <c r="H42" s="1">
        <v>100</v>
      </c>
      <c r="I42" s="1" t="s">
        <v>61</v>
      </c>
    </row>
    <row r="43" spans="1:9" x14ac:dyDescent="0.3">
      <c r="A43" s="1" t="s">
        <v>16</v>
      </c>
      <c r="B43" s="1" t="s">
        <v>11</v>
      </c>
      <c r="C43">
        <v>2</v>
      </c>
      <c r="D43">
        <v>5</v>
      </c>
      <c r="E43">
        <v>0</v>
      </c>
      <c r="F43">
        <v>5</v>
      </c>
      <c r="G43" s="1">
        <v>0</v>
      </c>
      <c r="H43" s="1">
        <v>100</v>
      </c>
      <c r="I43" s="1" t="s">
        <v>62</v>
      </c>
    </row>
    <row r="44" spans="1:9" x14ac:dyDescent="0.3">
      <c r="A44" s="1" t="s">
        <v>16</v>
      </c>
      <c r="B44" s="1" t="s">
        <v>11</v>
      </c>
      <c r="C44">
        <v>3</v>
      </c>
      <c r="D44">
        <v>5</v>
      </c>
      <c r="E44">
        <v>3</v>
      </c>
      <c r="F44">
        <v>2</v>
      </c>
      <c r="G44" s="1">
        <v>60</v>
      </c>
      <c r="H44" s="1">
        <v>40</v>
      </c>
      <c r="I44" s="1" t="s">
        <v>63</v>
      </c>
    </row>
    <row r="45" spans="1:9" x14ac:dyDescent="0.3">
      <c r="A45" s="1" t="s">
        <v>16</v>
      </c>
      <c r="B45" s="1" t="s">
        <v>11</v>
      </c>
      <c r="C45">
        <v>4</v>
      </c>
      <c r="D45">
        <v>5</v>
      </c>
      <c r="E45">
        <v>0</v>
      </c>
      <c r="F45">
        <v>5</v>
      </c>
      <c r="G45" s="1">
        <v>0</v>
      </c>
      <c r="H45" s="1">
        <v>100</v>
      </c>
      <c r="I45" s="1" t="s">
        <v>64</v>
      </c>
    </row>
    <row r="46" spans="1:9" x14ac:dyDescent="0.3">
      <c r="A46" s="1" t="s">
        <v>16</v>
      </c>
      <c r="B46" s="1" t="s">
        <v>13</v>
      </c>
      <c r="C46">
        <v>1</v>
      </c>
      <c r="D46">
        <v>5</v>
      </c>
      <c r="E46">
        <v>5</v>
      </c>
      <c r="F46">
        <v>0</v>
      </c>
      <c r="G46" s="1">
        <v>100</v>
      </c>
      <c r="H46" s="1">
        <v>0</v>
      </c>
      <c r="I46" s="1" t="s">
        <v>65</v>
      </c>
    </row>
    <row r="47" spans="1:9" x14ac:dyDescent="0.3">
      <c r="A47" s="1" t="s">
        <v>16</v>
      </c>
      <c r="B47" s="1" t="s">
        <v>13</v>
      </c>
      <c r="C47">
        <v>2</v>
      </c>
      <c r="D47">
        <v>5</v>
      </c>
      <c r="E47">
        <v>1</v>
      </c>
      <c r="F47">
        <v>4</v>
      </c>
      <c r="G47" s="1">
        <v>20</v>
      </c>
      <c r="H47" s="1">
        <v>80</v>
      </c>
      <c r="I47" s="1" t="s">
        <v>66</v>
      </c>
    </row>
    <row r="48" spans="1:9" x14ac:dyDescent="0.3">
      <c r="A48" s="1" t="s">
        <v>16</v>
      </c>
      <c r="B48" s="1" t="s">
        <v>13</v>
      </c>
      <c r="C48">
        <v>3</v>
      </c>
      <c r="D48">
        <v>5</v>
      </c>
      <c r="E48">
        <v>0</v>
      </c>
      <c r="F48">
        <v>5</v>
      </c>
      <c r="G48" s="1">
        <v>0</v>
      </c>
      <c r="H48" s="1">
        <v>100</v>
      </c>
      <c r="I48" s="1" t="s">
        <v>67</v>
      </c>
    </row>
    <row r="49" spans="1:9" x14ac:dyDescent="0.3">
      <c r="A49" s="1" t="s">
        <v>16</v>
      </c>
      <c r="B49" s="1" t="s">
        <v>13</v>
      </c>
      <c r="C49">
        <v>4</v>
      </c>
      <c r="D49">
        <v>5</v>
      </c>
      <c r="E49">
        <v>0</v>
      </c>
      <c r="F49">
        <v>5</v>
      </c>
      <c r="G49" s="1">
        <v>0</v>
      </c>
      <c r="H49" s="1">
        <v>100</v>
      </c>
      <c r="I49" s="1" t="s">
        <v>68</v>
      </c>
    </row>
    <row r="50" spans="1:9" x14ac:dyDescent="0.3">
      <c r="A50" s="1" t="s">
        <v>16</v>
      </c>
      <c r="B50" s="1" t="s">
        <v>14</v>
      </c>
      <c r="C50">
        <v>1</v>
      </c>
      <c r="D50">
        <v>5</v>
      </c>
      <c r="E50">
        <v>0</v>
      </c>
      <c r="F50">
        <v>5</v>
      </c>
      <c r="G50" s="1">
        <v>0</v>
      </c>
      <c r="H50" s="1">
        <v>100</v>
      </c>
      <c r="I50" s="1" t="s">
        <v>69</v>
      </c>
    </row>
    <row r="51" spans="1:9" x14ac:dyDescent="0.3">
      <c r="A51" s="1" t="s">
        <v>16</v>
      </c>
      <c r="B51" s="1" t="s">
        <v>14</v>
      </c>
      <c r="C51">
        <v>2</v>
      </c>
      <c r="D51">
        <v>5</v>
      </c>
      <c r="E51">
        <v>2</v>
      </c>
      <c r="F51">
        <v>3</v>
      </c>
      <c r="G51" s="1">
        <v>40</v>
      </c>
      <c r="H51" s="1">
        <v>60</v>
      </c>
      <c r="I51" s="1" t="s">
        <v>70</v>
      </c>
    </row>
    <row r="52" spans="1:9" x14ac:dyDescent="0.3">
      <c r="A52" s="1" t="s">
        <v>16</v>
      </c>
      <c r="B52" s="1" t="s">
        <v>14</v>
      </c>
      <c r="C52">
        <v>3</v>
      </c>
      <c r="D52">
        <v>5</v>
      </c>
      <c r="E52">
        <v>4</v>
      </c>
      <c r="F52">
        <v>1</v>
      </c>
      <c r="G52" s="1">
        <v>80</v>
      </c>
      <c r="H52" s="1">
        <v>20</v>
      </c>
      <c r="I52" s="1" t="s">
        <v>71</v>
      </c>
    </row>
    <row r="53" spans="1:9" x14ac:dyDescent="0.3">
      <c r="A53" s="1" t="s">
        <v>16</v>
      </c>
      <c r="B53" s="1" t="s">
        <v>14</v>
      </c>
      <c r="C53">
        <v>4</v>
      </c>
      <c r="D53">
        <v>5</v>
      </c>
      <c r="E53">
        <v>4</v>
      </c>
      <c r="F53">
        <v>1</v>
      </c>
      <c r="G53" s="1">
        <v>80</v>
      </c>
      <c r="H53" s="1">
        <v>20</v>
      </c>
      <c r="I53" s="1" t="s">
        <v>72</v>
      </c>
    </row>
    <row r="54" spans="1:9" x14ac:dyDescent="0.3">
      <c r="A54" s="1" t="s">
        <v>17</v>
      </c>
      <c r="B54" s="1" t="s">
        <v>10</v>
      </c>
      <c r="C54">
        <v>1</v>
      </c>
      <c r="D54">
        <v>5</v>
      </c>
      <c r="E54">
        <v>4</v>
      </c>
      <c r="F54">
        <v>1</v>
      </c>
      <c r="G54" s="1">
        <v>80</v>
      </c>
      <c r="H54" s="1">
        <v>20</v>
      </c>
      <c r="I54" s="1" t="s">
        <v>73</v>
      </c>
    </row>
    <row r="55" spans="1:9" x14ac:dyDescent="0.3">
      <c r="A55" s="1" t="s">
        <v>17</v>
      </c>
      <c r="B55" s="1" t="s">
        <v>10</v>
      </c>
      <c r="C55">
        <v>2</v>
      </c>
      <c r="D55">
        <v>5</v>
      </c>
      <c r="E55">
        <v>0</v>
      </c>
      <c r="F55">
        <v>5</v>
      </c>
      <c r="G55" s="1">
        <v>0</v>
      </c>
      <c r="H55" s="1">
        <v>100</v>
      </c>
      <c r="I55" s="1" t="s">
        <v>74</v>
      </c>
    </row>
    <row r="56" spans="1:9" x14ac:dyDescent="0.3">
      <c r="A56" s="1" t="s">
        <v>17</v>
      </c>
      <c r="B56" s="1" t="s">
        <v>10</v>
      </c>
      <c r="C56">
        <v>3</v>
      </c>
      <c r="D56">
        <v>5</v>
      </c>
      <c r="E56">
        <v>0</v>
      </c>
      <c r="F56">
        <v>5</v>
      </c>
      <c r="G56" s="1">
        <v>0</v>
      </c>
      <c r="H56" s="1">
        <v>100</v>
      </c>
      <c r="I56" s="1" t="s">
        <v>75</v>
      </c>
    </row>
    <row r="57" spans="1:9" x14ac:dyDescent="0.3">
      <c r="A57" s="1" t="s">
        <v>17</v>
      </c>
      <c r="B57" s="1" t="s">
        <v>10</v>
      </c>
      <c r="C57">
        <v>4</v>
      </c>
      <c r="D57">
        <v>5</v>
      </c>
      <c r="E57">
        <v>5</v>
      </c>
      <c r="F57">
        <v>0</v>
      </c>
      <c r="G57" s="1">
        <v>100</v>
      </c>
      <c r="H57" s="1">
        <v>0</v>
      </c>
      <c r="I57" s="1" t="s">
        <v>76</v>
      </c>
    </row>
    <row r="58" spans="1:9" x14ac:dyDescent="0.3">
      <c r="A58" s="1" t="s">
        <v>17</v>
      </c>
      <c r="B58" s="1" t="s">
        <v>11</v>
      </c>
      <c r="C58">
        <v>1</v>
      </c>
      <c r="D58">
        <v>5</v>
      </c>
      <c r="E58">
        <v>0</v>
      </c>
      <c r="F58">
        <v>5</v>
      </c>
      <c r="G58" s="1">
        <v>0</v>
      </c>
      <c r="H58" s="1">
        <v>100</v>
      </c>
      <c r="I58" s="1" t="s">
        <v>77</v>
      </c>
    </row>
    <row r="59" spans="1:9" x14ac:dyDescent="0.3">
      <c r="A59" s="1" t="s">
        <v>17</v>
      </c>
      <c r="B59" s="1" t="s">
        <v>11</v>
      </c>
      <c r="C59">
        <v>2</v>
      </c>
      <c r="D59">
        <v>5</v>
      </c>
      <c r="E59">
        <v>0</v>
      </c>
      <c r="F59">
        <v>5</v>
      </c>
      <c r="G59" s="1">
        <v>0</v>
      </c>
      <c r="H59" s="1">
        <v>100</v>
      </c>
      <c r="I59" s="1" t="s">
        <v>78</v>
      </c>
    </row>
    <row r="60" spans="1:9" x14ac:dyDescent="0.3">
      <c r="A60" s="1" t="s">
        <v>17</v>
      </c>
      <c r="B60" s="1" t="s">
        <v>11</v>
      </c>
      <c r="C60">
        <v>3</v>
      </c>
      <c r="D60">
        <v>5</v>
      </c>
      <c r="E60">
        <v>0</v>
      </c>
      <c r="F60">
        <v>5</v>
      </c>
      <c r="G60" s="1">
        <v>0</v>
      </c>
      <c r="H60" s="1">
        <v>100</v>
      </c>
      <c r="I60" s="1" t="s">
        <v>79</v>
      </c>
    </row>
    <row r="61" spans="1:9" x14ac:dyDescent="0.3">
      <c r="A61" s="1" t="s">
        <v>17</v>
      </c>
      <c r="B61" s="1" t="s">
        <v>11</v>
      </c>
      <c r="C61">
        <v>4</v>
      </c>
      <c r="D61">
        <v>5</v>
      </c>
      <c r="E61">
        <v>0</v>
      </c>
      <c r="F61">
        <v>5</v>
      </c>
      <c r="G61" s="1">
        <v>0</v>
      </c>
      <c r="H61" s="1">
        <v>100</v>
      </c>
      <c r="I61" s="1" t="s">
        <v>80</v>
      </c>
    </row>
    <row r="62" spans="1:9" x14ac:dyDescent="0.3">
      <c r="A62" s="1" t="s">
        <v>17</v>
      </c>
      <c r="B62" s="1" t="s">
        <v>13</v>
      </c>
      <c r="C62">
        <v>1</v>
      </c>
      <c r="D62">
        <v>5</v>
      </c>
      <c r="E62">
        <v>0</v>
      </c>
      <c r="F62">
        <v>5</v>
      </c>
      <c r="G62" s="1">
        <v>0</v>
      </c>
      <c r="H62" s="1">
        <v>100</v>
      </c>
      <c r="I62" s="1" t="s">
        <v>81</v>
      </c>
    </row>
    <row r="63" spans="1:9" x14ac:dyDescent="0.3">
      <c r="A63" s="1" t="s">
        <v>17</v>
      </c>
      <c r="B63" s="1" t="s">
        <v>13</v>
      </c>
      <c r="C63">
        <v>2</v>
      </c>
      <c r="D63">
        <v>5</v>
      </c>
      <c r="E63">
        <v>0</v>
      </c>
      <c r="F63">
        <v>5</v>
      </c>
      <c r="G63" s="1">
        <v>0</v>
      </c>
      <c r="H63" s="1">
        <v>100</v>
      </c>
      <c r="I63" s="1" t="s">
        <v>82</v>
      </c>
    </row>
    <row r="64" spans="1:9" x14ac:dyDescent="0.3">
      <c r="A64" s="1" t="s">
        <v>17</v>
      </c>
      <c r="B64" s="1" t="s">
        <v>13</v>
      </c>
      <c r="C64">
        <v>3</v>
      </c>
      <c r="D64">
        <v>5</v>
      </c>
      <c r="E64">
        <v>0</v>
      </c>
      <c r="F64">
        <v>5</v>
      </c>
      <c r="G64" s="1">
        <v>0</v>
      </c>
      <c r="H64" s="1">
        <v>100</v>
      </c>
      <c r="I64" s="1" t="s">
        <v>83</v>
      </c>
    </row>
    <row r="65" spans="1:9" x14ac:dyDescent="0.3">
      <c r="A65" s="1" t="s">
        <v>17</v>
      </c>
      <c r="B65" s="1" t="s">
        <v>13</v>
      </c>
      <c r="C65">
        <v>4</v>
      </c>
      <c r="D65">
        <v>5</v>
      </c>
      <c r="E65">
        <v>0</v>
      </c>
      <c r="F65">
        <v>5</v>
      </c>
      <c r="G65" s="1">
        <v>0</v>
      </c>
      <c r="H65" s="1">
        <v>100</v>
      </c>
      <c r="I65" s="1" t="s">
        <v>84</v>
      </c>
    </row>
    <row r="66" spans="1:9" x14ac:dyDescent="0.3">
      <c r="A66" s="1" t="s">
        <v>17</v>
      </c>
      <c r="B66" s="1" t="s">
        <v>14</v>
      </c>
      <c r="C66">
        <v>1</v>
      </c>
      <c r="D66">
        <v>5</v>
      </c>
      <c r="E66">
        <v>2</v>
      </c>
      <c r="F66">
        <v>3</v>
      </c>
      <c r="G66" s="1">
        <v>40</v>
      </c>
      <c r="H66" s="1">
        <v>60</v>
      </c>
      <c r="I66" s="1" t="s">
        <v>85</v>
      </c>
    </row>
    <row r="67" spans="1:9" x14ac:dyDescent="0.3">
      <c r="A67" s="1" t="s">
        <v>17</v>
      </c>
      <c r="B67" s="1" t="s">
        <v>14</v>
      </c>
      <c r="C67">
        <v>2</v>
      </c>
      <c r="D67">
        <v>5</v>
      </c>
      <c r="E67">
        <v>1</v>
      </c>
      <c r="F67">
        <v>4</v>
      </c>
      <c r="G67" s="1">
        <v>20</v>
      </c>
      <c r="H67" s="1">
        <v>80</v>
      </c>
      <c r="I67" s="1" t="s">
        <v>86</v>
      </c>
    </row>
    <row r="68" spans="1:9" x14ac:dyDescent="0.3">
      <c r="A68" s="1" t="s">
        <v>17</v>
      </c>
      <c r="B68" s="1" t="s">
        <v>14</v>
      </c>
      <c r="C68">
        <v>3</v>
      </c>
      <c r="D68">
        <v>5</v>
      </c>
      <c r="E68">
        <v>0</v>
      </c>
      <c r="F68">
        <v>5</v>
      </c>
      <c r="G68" s="1">
        <v>0</v>
      </c>
      <c r="H68" s="1">
        <v>100</v>
      </c>
      <c r="I68" s="1" t="s">
        <v>87</v>
      </c>
    </row>
    <row r="69" spans="1:9" x14ac:dyDescent="0.3">
      <c r="A69" s="1" t="s">
        <v>17</v>
      </c>
      <c r="B69" s="1" t="s">
        <v>14</v>
      </c>
      <c r="C69">
        <v>4</v>
      </c>
      <c r="D69">
        <v>5</v>
      </c>
      <c r="E69">
        <v>0</v>
      </c>
      <c r="F69">
        <v>5</v>
      </c>
      <c r="G69" s="1">
        <v>0</v>
      </c>
      <c r="H69" s="1">
        <v>100</v>
      </c>
      <c r="I69" s="1" t="s">
        <v>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BC8B-6BDA-4676-AB96-C2ECAF659EFF}">
  <dimension ref="A1:H50"/>
  <sheetViews>
    <sheetView tabSelected="1" topLeftCell="A40" workbookViewId="0">
      <selection activeCell="I52" sqref="I52"/>
    </sheetView>
  </sheetViews>
  <sheetFormatPr defaultRowHeight="14.4" x14ac:dyDescent="0.3"/>
  <cols>
    <col min="1" max="1" width="16.77734375" bestFit="1" customWidth="1"/>
    <col min="2" max="2" width="29" bestFit="1" customWidth="1"/>
    <col min="4" max="4" width="16.77734375" bestFit="1" customWidth="1"/>
    <col min="5" max="5" width="24.44140625" bestFit="1" customWidth="1"/>
    <col min="7" max="7" width="16.44140625" customWidth="1"/>
    <col min="8" max="8" width="21.21875" customWidth="1"/>
  </cols>
  <sheetData>
    <row r="1" spans="1:8" x14ac:dyDescent="0.3">
      <c r="A1" s="2" t="s">
        <v>18</v>
      </c>
      <c r="B1" t="s">
        <v>20</v>
      </c>
      <c r="D1" s="2" t="s">
        <v>18</v>
      </c>
      <c r="E1" t="s">
        <v>161</v>
      </c>
    </row>
    <row r="2" spans="1:8" x14ac:dyDescent="0.3">
      <c r="A2" s="3">
        <v>1</v>
      </c>
      <c r="B2" s="1">
        <v>75.294117647058826</v>
      </c>
      <c r="D2" s="3">
        <v>1</v>
      </c>
      <c r="E2" s="1">
        <v>33.846153846153847</v>
      </c>
      <c r="G2" t="s">
        <v>162</v>
      </c>
      <c r="H2" t="s">
        <v>184</v>
      </c>
    </row>
    <row r="3" spans="1:8" x14ac:dyDescent="0.3">
      <c r="A3" s="3">
        <v>2</v>
      </c>
      <c r="B3" s="1">
        <v>74.117647058823536</v>
      </c>
      <c r="D3" s="3">
        <v>2</v>
      </c>
      <c r="E3" s="1">
        <v>49.230769230769234</v>
      </c>
      <c r="G3">
        <f>A2</f>
        <v>1</v>
      </c>
      <c r="H3">
        <f>AVERAGE(B2,E2)</f>
        <v>54.57013574660634</v>
      </c>
    </row>
    <row r="4" spans="1:8" x14ac:dyDescent="0.3">
      <c r="A4" s="3">
        <v>3</v>
      </c>
      <c r="B4" s="1">
        <v>87.058823529411768</v>
      </c>
      <c r="D4" s="3">
        <v>3</v>
      </c>
      <c r="E4" s="1">
        <v>61.53846153846154</v>
      </c>
      <c r="G4">
        <f>A3</f>
        <v>2</v>
      </c>
      <c r="H4">
        <f>AVERAGE(B3,E3)</f>
        <v>61.674208144796381</v>
      </c>
    </row>
    <row r="5" spans="1:8" x14ac:dyDescent="0.3">
      <c r="A5" s="3">
        <v>4</v>
      </c>
      <c r="B5" s="1">
        <v>54.117647058823529</v>
      </c>
      <c r="D5" s="3">
        <v>4</v>
      </c>
      <c r="E5" s="1">
        <v>43.07692307692308</v>
      </c>
      <c r="G5">
        <f>A4</f>
        <v>3</v>
      </c>
      <c r="H5">
        <f>AVERAGE(B4,E4)</f>
        <v>74.298642533936658</v>
      </c>
    </row>
    <row r="6" spans="1:8" x14ac:dyDescent="0.3">
      <c r="A6" s="3" t="s">
        <v>19</v>
      </c>
      <c r="B6" s="1">
        <v>72.647058823529406</v>
      </c>
      <c r="D6" s="3" t="s">
        <v>19</v>
      </c>
      <c r="E6" s="1">
        <v>46.92307692307692</v>
      </c>
      <c r="G6">
        <f>A5</f>
        <v>4</v>
      </c>
      <c r="H6">
        <f>AVERAGE(B5,E5)</f>
        <v>48.597285067873301</v>
      </c>
    </row>
    <row r="9" spans="1:8" x14ac:dyDescent="0.3">
      <c r="A9" s="2" t="s">
        <v>18</v>
      </c>
      <c r="B9" t="s">
        <v>20</v>
      </c>
      <c r="D9" s="2" t="s">
        <v>18</v>
      </c>
      <c r="E9" t="s">
        <v>161</v>
      </c>
    </row>
    <row r="10" spans="1:8" x14ac:dyDescent="0.3">
      <c r="A10" s="3">
        <v>1</v>
      </c>
      <c r="B10" s="1">
        <v>70.588235294117652</v>
      </c>
      <c r="D10" s="3">
        <v>1</v>
      </c>
      <c r="E10" s="1">
        <v>35.384615384615387</v>
      </c>
      <c r="G10" t="s">
        <v>162</v>
      </c>
      <c r="H10" t="s">
        <v>183</v>
      </c>
    </row>
    <row r="11" spans="1:8" x14ac:dyDescent="0.3">
      <c r="A11" s="3">
        <v>2</v>
      </c>
      <c r="B11" s="1">
        <v>81.17647058823529</v>
      </c>
      <c r="D11" s="3">
        <v>2</v>
      </c>
      <c r="E11" s="1">
        <v>50.769230769230766</v>
      </c>
      <c r="G11">
        <f>A10</f>
        <v>1</v>
      </c>
      <c r="H11">
        <f>AVERAGE(B10,E10)</f>
        <v>52.986425339366519</v>
      </c>
    </row>
    <row r="12" spans="1:8" x14ac:dyDescent="0.3">
      <c r="A12" s="3">
        <v>3</v>
      </c>
      <c r="B12" s="1">
        <v>83.529411764705884</v>
      </c>
      <c r="D12" s="3">
        <v>3</v>
      </c>
      <c r="E12" s="1">
        <v>66.15384615384616</v>
      </c>
      <c r="G12">
        <f>A11</f>
        <v>2</v>
      </c>
      <c r="H12">
        <f>AVERAGE(B11,E11)</f>
        <v>65.972850678733025</v>
      </c>
    </row>
    <row r="13" spans="1:8" x14ac:dyDescent="0.3">
      <c r="A13" s="3">
        <v>4</v>
      </c>
      <c r="B13" s="1">
        <v>51.764705882352942</v>
      </c>
      <c r="D13" s="3">
        <v>4</v>
      </c>
      <c r="E13" s="1">
        <v>46.153846153846153</v>
      </c>
      <c r="G13">
        <f>A12</f>
        <v>3</v>
      </c>
      <c r="H13">
        <f>AVERAGE(B12,E12)</f>
        <v>74.841628959276022</v>
      </c>
    </row>
    <row r="14" spans="1:8" x14ac:dyDescent="0.3">
      <c r="A14" s="3" t="s">
        <v>19</v>
      </c>
      <c r="B14" s="1">
        <v>71.764705882352942</v>
      </c>
      <c r="D14" s="3" t="s">
        <v>19</v>
      </c>
      <c r="E14" s="1">
        <v>49.615384615384613</v>
      </c>
      <c r="G14">
        <f>A13</f>
        <v>4</v>
      </c>
      <c r="H14">
        <f>AVERAGE(B13,E13)</f>
        <v>48.959276018099544</v>
      </c>
    </row>
    <row r="19" spans="1:8" x14ac:dyDescent="0.3">
      <c r="A19" s="2" t="s">
        <v>18</v>
      </c>
      <c r="B19" t="s">
        <v>20</v>
      </c>
      <c r="D19" s="2" t="s">
        <v>18</v>
      </c>
      <c r="E19" t="s">
        <v>161</v>
      </c>
    </row>
    <row r="20" spans="1:8" x14ac:dyDescent="0.3">
      <c r="A20" s="3">
        <v>1</v>
      </c>
      <c r="B20" s="1">
        <v>47.058823529411768</v>
      </c>
      <c r="D20" s="3">
        <v>1</v>
      </c>
      <c r="E20" s="1">
        <v>43.07692307692308</v>
      </c>
      <c r="G20" t="s">
        <v>162</v>
      </c>
      <c r="H20" t="s">
        <v>217</v>
      </c>
    </row>
    <row r="21" spans="1:8" x14ac:dyDescent="0.3">
      <c r="A21" s="3">
        <v>2</v>
      </c>
      <c r="B21" s="1">
        <v>67.058823529411768</v>
      </c>
      <c r="D21" s="3">
        <v>2</v>
      </c>
      <c r="E21" s="1">
        <v>61.53846153846154</v>
      </c>
      <c r="G21">
        <f>A20</f>
        <v>1</v>
      </c>
      <c r="H21">
        <f>AVERAGE(B20,E20)</f>
        <v>45.067873303167424</v>
      </c>
    </row>
    <row r="22" spans="1:8" x14ac:dyDescent="0.3">
      <c r="A22" s="3">
        <v>3</v>
      </c>
      <c r="B22" s="1">
        <v>95.294117647058826</v>
      </c>
      <c r="D22" s="3">
        <v>3</v>
      </c>
      <c r="E22" s="1">
        <v>72.307692307692307</v>
      </c>
      <c r="G22">
        <f>A21</f>
        <v>2</v>
      </c>
      <c r="H22">
        <f>AVERAGE(B21,E21)</f>
        <v>64.298642533936658</v>
      </c>
    </row>
    <row r="23" spans="1:8" x14ac:dyDescent="0.3">
      <c r="A23" s="3">
        <v>4</v>
      </c>
      <c r="B23" s="1">
        <v>67.058823529411768</v>
      </c>
      <c r="D23" s="3">
        <v>4</v>
      </c>
      <c r="E23" s="1">
        <v>60</v>
      </c>
      <c r="G23">
        <f>A22</f>
        <v>3</v>
      </c>
      <c r="H23">
        <f>AVERAGE(B22,E22)</f>
        <v>83.800904977375566</v>
      </c>
    </row>
    <row r="24" spans="1:8" x14ac:dyDescent="0.3">
      <c r="A24" s="3" t="s">
        <v>19</v>
      </c>
      <c r="B24" s="1">
        <v>69.117647058823536</v>
      </c>
      <c r="D24" s="3" t="s">
        <v>19</v>
      </c>
      <c r="E24" s="1">
        <v>59.230769230769234</v>
      </c>
      <c r="G24">
        <f>A23</f>
        <v>4</v>
      </c>
      <c r="H24">
        <f>AVERAGE(B23,E23)</f>
        <v>63.529411764705884</v>
      </c>
    </row>
    <row r="27" spans="1:8" x14ac:dyDescent="0.3">
      <c r="A27" s="2" t="s">
        <v>18</v>
      </c>
      <c r="B27" t="s">
        <v>20</v>
      </c>
      <c r="D27" s="2" t="s">
        <v>18</v>
      </c>
      <c r="E27" t="s">
        <v>161</v>
      </c>
    </row>
    <row r="28" spans="1:8" x14ac:dyDescent="0.3">
      <c r="A28" s="3">
        <v>1</v>
      </c>
      <c r="B28" s="1">
        <v>47.058823529411768</v>
      </c>
      <c r="D28" s="3">
        <v>1</v>
      </c>
      <c r="E28" s="1">
        <v>41.53846153846154</v>
      </c>
      <c r="G28" t="s">
        <v>162</v>
      </c>
      <c r="H28" t="s">
        <v>235</v>
      </c>
    </row>
    <row r="29" spans="1:8" x14ac:dyDescent="0.3">
      <c r="A29" s="3">
        <v>2</v>
      </c>
      <c r="B29" s="1">
        <v>71.764705882352942</v>
      </c>
      <c r="D29" s="3">
        <v>2</v>
      </c>
      <c r="E29" s="1">
        <v>60</v>
      </c>
      <c r="G29">
        <f>A28</f>
        <v>1</v>
      </c>
      <c r="H29">
        <f>AVERAGE(B28,E28)</f>
        <v>44.298642533936658</v>
      </c>
    </row>
    <row r="30" spans="1:8" x14ac:dyDescent="0.3">
      <c r="A30" s="3">
        <v>3</v>
      </c>
      <c r="B30" s="1">
        <v>89.411764705882348</v>
      </c>
      <c r="D30" s="3">
        <v>3</v>
      </c>
      <c r="E30" s="1">
        <v>69.230769230769226</v>
      </c>
      <c r="G30">
        <f>A29</f>
        <v>2</v>
      </c>
      <c r="H30">
        <f>AVERAGE(B29,E29)</f>
        <v>65.882352941176464</v>
      </c>
    </row>
    <row r="31" spans="1:8" x14ac:dyDescent="0.3">
      <c r="A31" s="3">
        <v>4</v>
      </c>
      <c r="B31" s="1">
        <v>71.764705882352942</v>
      </c>
      <c r="D31" s="3">
        <v>4</v>
      </c>
      <c r="E31" s="1">
        <v>69.230769230769226</v>
      </c>
      <c r="G31">
        <f>A30</f>
        <v>3</v>
      </c>
      <c r="H31">
        <f>AVERAGE(B30,E30)</f>
        <v>79.321266968325787</v>
      </c>
    </row>
    <row r="32" spans="1:8" x14ac:dyDescent="0.3">
      <c r="A32" s="3" t="s">
        <v>19</v>
      </c>
      <c r="B32" s="1">
        <v>70</v>
      </c>
      <c r="D32" s="3" t="s">
        <v>19</v>
      </c>
      <c r="E32" s="1">
        <v>60</v>
      </c>
      <c r="G32">
        <f>A31</f>
        <v>4</v>
      </c>
      <c r="H32">
        <f>AVERAGE(B31,E31)</f>
        <v>70.497737556561077</v>
      </c>
    </row>
    <row r="37" spans="1:8" x14ac:dyDescent="0.3">
      <c r="A37" s="2" t="s">
        <v>18</v>
      </c>
      <c r="B37" t="s">
        <v>20</v>
      </c>
      <c r="D37" s="2" t="s">
        <v>18</v>
      </c>
      <c r="E37" t="s">
        <v>161</v>
      </c>
    </row>
    <row r="38" spans="1:8" x14ac:dyDescent="0.3">
      <c r="A38" s="3">
        <v>1</v>
      </c>
      <c r="B38" s="1">
        <v>55.294117647058826</v>
      </c>
      <c r="D38" s="3">
        <v>1</v>
      </c>
      <c r="E38" s="1">
        <v>53.846153846153847</v>
      </c>
      <c r="G38" t="s">
        <v>162</v>
      </c>
      <c r="H38" t="s">
        <v>285</v>
      </c>
    </row>
    <row r="39" spans="1:8" x14ac:dyDescent="0.3">
      <c r="A39" s="3">
        <v>2</v>
      </c>
      <c r="B39" s="1">
        <v>68.235294117647058</v>
      </c>
      <c r="D39" s="3">
        <v>2</v>
      </c>
      <c r="E39" s="1">
        <v>53.846153846153847</v>
      </c>
      <c r="G39">
        <f>A38</f>
        <v>1</v>
      </c>
      <c r="H39">
        <f>AVERAGE(B38,E38)</f>
        <v>54.57013574660634</v>
      </c>
    </row>
    <row r="40" spans="1:8" x14ac:dyDescent="0.3">
      <c r="A40" s="3">
        <v>3</v>
      </c>
      <c r="B40" s="1">
        <v>95.294117647058826</v>
      </c>
      <c r="D40" s="3">
        <v>3</v>
      </c>
      <c r="E40" s="1">
        <v>75.384615384615387</v>
      </c>
      <c r="G40">
        <f>A39</f>
        <v>2</v>
      </c>
      <c r="H40">
        <f>AVERAGE(B39,E39)</f>
        <v>61.040723981900456</v>
      </c>
    </row>
    <row r="41" spans="1:8" x14ac:dyDescent="0.3">
      <c r="A41" s="3">
        <v>4</v>
      </c>
      <c r="B41" s="1">
        <v>74.117647058823536</v>
      </c>
      <c r="D41" s="3">
        <v>4</v>
      </c>
      <c r="E41" s="1">
        <v>64.615384615384613</v>
      </c>
      <c r="G41">
        <f>A40</f>
        <v>3</v>
      </c>
      <c r="H41">
        <f>AVERAGE(B40,E40)</f>
        <v>85.339366515837099</v>
      </c>
    </row>
    <row r="42" spans="1:8" x14ac:dyDescent="0.3">
      <c r="A42" s="3" t="s">
        <v>19</v>
      </c>
      <c r="B42" s="1">
        <v>73.235294117647058</v>
      </c>
      <c r="D42" s="3" t="s">
        <v>19</v>
      </c>
      <c r="E42" s="1">
        <v>61.92307692307692</v>
      </c>
      <c r="G42">
        <f>A41</f>
        <v>4</v>
      </c>
      <c r="H42">
        <f>AVERAGE(B41,E41)</f>
        <v>69.366515837104075</v>
      </c>
    </row>
    <row r="45" spans="1:8" x14ac:dyDescent="0.3">
      <c r="A45" s="2" t="s">
        <v>18</v>
      </c>
      <c r="B45" t="s">
        <v>20</v>
      </c>
      <c r="D45" s="2" t="s">
        <v>18</v>
      </c>
      <c r="E45" t="s">
        <v>161</v>
      </c>
    </row>
    <row r="46" spans="1:8" x14ac:dyDescent="0.3">
      <c r="A46" s="3">
        <v>1</v>
      </c>
      <c r="B46" s="1">
        <v>43.529411764705884</v>
      </c>
      <c r="D46" s="3">
        <v>1</v>
      </c>
      <c r="E46" s="1">
        <v>47.692307692307693</v>
      </c>
      <c r="G46" t="s">
        <v>162</v>
      </c>
      <c r="H46" t="s">
        <v>327</v>
      </c>
    </row>
    <row r="47" spans="1:8" x14ac:dyDescent="0.3">
      <c r="A47" s="3">
        <v>2</v>
      </c>
      <c r="B47" s="1">
        <v>65.882352941176464</v>
      </c>
      <c r="D47" s="3">
        <v>2</v>
      </c>
      <c r="E47" s="1">
        <v>67.692307692307693</v>
      </c>
      <c r="G47">
        <f>A46</f>
        <v>1</v>
      </c>
      <c r="H47">
        <f>AVERAGE(B46,E46)</f>
        <v>45.610859728506789</v>
      </c>
    </row>
    <row r="48" spans="1:8" x14ac:dyDescent="0.3">
      <c r="A48" s="3">
        <v>3</v>
      </c>
      <c r="B48" s="1">
        <v>96.470588235294116</v>
      </c>
      <c r="D48" s="3">
        <v>3</v>
      </c>
      <c r="E48" s="1">
        <v>69.230769230769226</v>
      </c>
      <c r="G48">
        <f>A47</f>
        <v>2</v>
      </c>
      <c r="H48">
        <f>AVERAGE(B47,E47)</f>
        <v>66.787330316742072</v>
      </c>
    </row>
    <row r="49" spans="1:8" x14ac:dyDescent="0.3">
      <c r="A49" s="3">
        <v>4</v>
      </c>
      <c r="B49" s="1">
        <v>67.058823529411768</v>
      </c>
      <c r="D49" s="3">
        <v>4</v>
      </c>
      <c r="E49" s="1">
        <v>63.07692307692308</v>
      </c>
      <c r="G49">
        <f>A48</f>
        <v>3</v>
      </c>
      <c r="H49">
        <f>AVERAGE(B48,E48)</f>
        <v>82.850678733031671</v>
      </c>
    </row>
    <row r="50" spans="1:8" x14ac:dyDescent="0.3">
      <c r="A50" s="3" t="s">
        <v>19</v>
      </c>
      <c r="B50" s="1">
        <v>68.235294117647058</v>
      </c>
      <c r="D50" s="3" t="s">
        <v>19</v>
      </c>
      <c r="E50" s="1">
        <v>61.92307692307692</v>
      </c>
      <c r="G50">
        <f>A49</f>
        <v>4</v>
      </c>
      <c r="H50">
        <f>AVERAGE(B49,E49)</f>
        <v>65.067873303167431</v>
      </c>
    </row>
  </sheetData>
  <phoneticPr fontId="1" type="noConversion"/>
  <pageMargins left="0.7" right="0.7" top="0.75" bottom="0.75" header="0.3" footer="0.3"/>
  <tableParts count="6">
    <tablePart r:id="rId13"/>
    <tablePart r:id="rId14"/>
    <tablePart r:id="rId15"/>
    <tablePart r:id="rId16"/>
    <tablePart r:id="rId17"/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C7DA-58EE-4FA8-A4C9-CFD1CCB382E1}">
  <dimension ref="A1:N53"/>
  <sheetViews>
    <sheetView topLeftCell="A28" workbookViewId="0">
      <selection activeCell="G12" sqref="G12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  <col min="14" max="14" width="19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8</v>
      </c>
    </row>
    <row r="2" spans="1:14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0</v>
      </c>
      <c r="J2">
        <v>5</v>
      </c>
      <c r="K2">
        <v>0</v>
      </c>
      <c r="L2">
        <v>100</v>
      </c>
      <c r="M2">
        <v>0</v>
      </c>
      <c r="N2" t="s">
        <v>249</v>
      </c>
    </row>
    <row r="3" spans="1:14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1</v>
      </c>
      <c r="J3">
        <v>4</v>
      </c>
      <c r="K3">
        <v>20</v>
      </c>
      <c r="L3">
        <v>80</v>
      </c>
      <c r="M3">
        <v>20</v>
      </c>
      <c r="N3" t="s">
        <v>303</v>
      </c>
    </row>
    <row r="4" spans="1:14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3</v>
      </c>
      <c r="J4">
        <v>2</v>
      </c>
      <c r="K4">
        <v>60</v>
      </c>
      <c r="L4">
        <v>40</v>
      </c>
      <c r="M4">
        <v>60</v>
      </c>
      <c r="N4" t="s">
        <v>251</v>
      </c>
    </row>
    <row r="5" spans="1:14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4</v>
      </c>
      <c r="J5">
        <v>1</v>
      </c>
      <c r="K5">
        <v>80</v>
      </c>
      <c r="L5">
        <v>20</v>
      </c>
      <c r="M5">
        <v>80</v>
      </c>
      <c r="N5" t="s">
        <v>304</v>
      </c>
    </row>
    <row r="6" spans="1:14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4</v>
      </c>
      <c r="J6">
        <v>1</v>
      </c>
      <c r="K6">
        <v>80</v>
      </c>
      <c r="L6">
        <v>20</v>
      </c>
      <c r="M6">
        <v>80</v>
      </c>
      <c r="N6" t="s">
        <v>305</v>
      </c>
    </row>
    <row r="7" spans="1:14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0</v>
      </c>
      <c r="J7">
        <v>5</v>
      </c>
      <c r="K7">
        <v>0</v>
      </c>
      <c r="L7">
        <v>100</v>
      </c>
      <c r="M7">
        <v>0</v>
      </c>
      <c r="N7" t="s">
        <v>306</v>
      </c>
    </row>
    <row r="8" spans="1:14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1</v>
      </c>
      <c r="J8">
        <v>4</v>
      </c>
      <c r="K8">
        <v>20</v>
      </c>
      <c r="L8">
        <v>80</v>
      </c>
      <c r="M8">
        <v>20</v>
      </c>
      <c r="N8" t="s">
        <v>115</v>
      </c>
    </row>
    <row r="9" spans="1:14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4</v>
      </c>
      <c r="J9">
        <v>1</v>
      </c>
      <c r="K9">
        <v>80</v>
      </c>
      <c r="L9">
        <v>20</v>
      </c>
      <c r="M9">
        <v>80</v>
      </c>
      <c r="N9" t="s">
        <v>307</v>
      </c>
    </row>
    <row r="10" spans="1:14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5</v>
      </c>
      <c r="J10">
        <v>0</v>
      </c>
      <c r="K10">
        <v>100</v>
      </c>
      <c r="L10">
        <v>0</v>
      </c>
      <c r="M10">
        <v>100</v>
      </c>
      <c r="N10" t="s">
        <v>117</v>
      </c>
    </row>
    <row r="11" spans="1:14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4</v>
      </c>
      <c r="J11">
        <v>1</v>
      </c>
      <c r="K11">
        <v>80</v>
      </c>
      <c r="L11">
        <v>20</v>
      </c>
      <c r="M11">
        <v>80</v>
      </c>
      <c r="N11" t="s">
        <v>308</v>
      </c>
    </row>
    <row r="12" spans="1:14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0</v>
      </c>
      <c r="J12">
        <v>5</v>
      </c>
      <c r="K12">
        <v>0</v>
      </c>
      <c r="L12">
        <v>100</v>
      </c>
      <c r="M12">
        <v>0</v>
      </c>
      <c r="N12" t="s">
        <v>119</v>
      </c>
    </row>
    <row r="13" spans="1:14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4</v>
      </c>
      <c r="J13">
        <v>1</v>
      </c>
      <c r="K13">
        <v>80</v>
      </c>
      <c r="L13">
        <v>20</v>
      </c>
      <c r="M13">
        <v>80</v>
      </c>
      <c r="N13" t="s">
        <v>309</v>
      </c>
    </row>
    <row r="14" spans="1:14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4</v>
      </c>
      <c r="J14">
        <v>1</v>
      </c>
      <c r="K14">
        <v>80</v>
      </c>
      <c r="L14">
        <v>20</v>
      </c>
      <c r="M14">
        <v>80</v>
      </c>
      <c r="N14" t="s">
        <v>310</v>
      </c>
    </row>
    <row r="15" spans="1:14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0</v>
      </c>
      <c r="J15">
        <v>5</v>
      </c>
      <c r="K15">
        <v>0</v>
      </c>
      <c r="L15">
        <v>100</v>
      </c>
      <c r="M15">
        <v>0</v>
      </c>
      <c r="N15" t="s">
        <v>122</v>
      </c>
    </row>
    <row r="16" spans="1:14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  <c r="N16" t="s">
        <v>123</v>
      </c>
    </row>
    <row r="17" spans="1:14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1</v>
      </c>
      <c r="J17">
        <v>4</v>
      </c>
      <c r="K17">
        <v>20</v>
      </c>
      <c r="L17">
        <v>80</v>
      </c>
      <c r="M17">
        <v>20</v>
      </c>
      <c r="N17" t="s">
        <v>311</v>
      </c>
    </row>
    <row r="18" spans="1:14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2</v>
      </c>
      <c r="J18">
        <v>3</v>
      </c>
      <c r="K18">
        <v>40</v>
      </c>
      <c r="L18">
        <v>60</v>
      </c>
      <c r="M18">
        <v>40</v>
      </c>
      <c r="N18" t="s">
        <v>255</v>
      </c>
    </row>
    <row r="19" spans="1:14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4</v>
      </c>
      <c r="J19">
        <v>1</v>
      </c>
      <c r="K19">
        <v>80</v>
      </c>
      <c r="L19">
        <v>20</v>
      </c>
      <c r="M19">
        <v>80</v>
      </c>
      <c r="N19" t="s">
        <v>312</v>
      </c>
    </row>
    <row r="20" spans="1:14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3</v>
      </c>
      <c r="J20">
        <v>2</v>
      </c>
      <c r="K20">
        <v>60</v>
      </c>
      <c r="L20">
        <v>40</v>
      </c>
      <c r="M20">
        <v>60</v>
      </c>
      <c r="N20" t="s">
        <v>313</v>
      </c>
    </row>
    <row r="21" spans="1:14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5</v>
      </c>
      <c r="J21">
        <v>0</v>
      </c>
      <c r="K21">
        <v>100</v>
      </c>
      <c r="L21">
        <v>0</v>
      </c>
      <c r="M21">
        <v>100</v>
      </c>
      <c r="N21" t="s">
        <v>258</v>
      </c>
    </row>
    <row r="22" spans="1:14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2</v>
      </c>
      <c r="J22">
        <v>3</v>
      </c>
      <c r="K22">
        <v>40</v>
      </c>
      <c r="L22">
        <v>60</v>
      </c>
      <c r="M22">
        <v>40</v>
      </c>
      <c r="N22" t="s">
        <v>314</v>
      </c>
    </row>
    <row r="23" spans="1:14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1</v>
      </c>
      <c r="J23">
        <v>4</v>
      </c>
      <c r="K23">
        <v>20</v>
      </c>
      <c r="L23">
        <v>80</v>
      </c>
      <c r="M23">
        <v>20</v>
      </c>
      <c r="N23" t="s">
        <v>130</v>
      </c>
    </row>
    <row r="24" spans="1:14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1</v>
      </c>
      <c r="J24">
        <v>4</v>
      </c>
      <c r="K24">
        <v>20</v>
      </c>
      <c r="L24">
        <v>80</v>
      </c>
      <c r="M24">
        <v>20</v>
      </c>
      <c r="N24" t="s">
        <v>131</v>
      </c>
    </row>
    <row r="25" spans="1:14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3</v>
      </c>
      <c r="J25">
        <v>2</v>
      </c>
      <c r="K25">
        <v>60</v>
      </c>
      <c r="L25">
        <v>40</v>
      </c>
      <c r="M25">
        <v>60</v>
      </c>
      <c r="N25" t="s">
        <v>315</v>
      </c>
    </row>
    <row r="26" spans="1:14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2</v>
      </c>
      <c r="J26">
        <v>3</v>
      </c>
      <c r="K26">
        <v>40</v>
      </c>
      <c r="L26">
        <v>60</v>
      </c>
      <c r="M26">
        <v>40</v>
      </c>
      <c r="N26" t="s">
        <v>263</v>
      </c>
    </row>
    <row r="27" spans="1:14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4</v>
      </c>
      <c r="J27">
        <v>1</v>
      </c>
      <c r="K27">
        <v>80</v>
      </c>
      <c r="L27">
        <v>20</v>
      </c>
      <c r="M27">
        <v>80</v>
      </c>
      <c r="N27" t="s">
        <v>316</v>
      </c>
    </row>
    <row r="28" spans="1:14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4</v>
      </c>
      <c r="J28">
        <v>1</v>
      </c>
      <c r="K28">
        <v>80</v>
      </c>
      <c r="L28">
        <v>20</v>
      </c>
      <c r="M28">
        <v>80</v>
      </c>
      <c r="N28" t="s">
        <v>317</v>
      </c>
    </row>
    <row r="29" spans="1:14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  <c r="N29" t="s">
        <v>136</v>
      </c>
    </row>
    <row r="30" spans="1:14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3</v>
      </c>
      <c r="J30">
        <v>2</v>
      </c>
      <c r="K30">
        <v>60</v>
      </c>
      <c r="L30">
        <v>40</v>
      </c>
      <c r="M30">
        <v>60</v>
      </c>
      <c r="N30" t="s">
        <v>137</v>
      </c>
    </row>
    <row r="31" spans="1:14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5</v>
      </c>
      <c r="J31">
        <v>0</v>
      </c>
      <c r="K31">
        <v>100</v>
      </c>
      <c r="L31">
        <v>0</v>
      </c>
      <c r="M31">
        <v>100</v>
      </c>
      <c r="N31" t="s">
        <v>267</v>
      </c>
    </row>
    <row r="32" spans="1:14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4</v>
      </c>
      <c r="J32">
        <v>1</v>
      </c>
      <c r="K32">
        <v>80</v>
      </c>
      <c r="L32">
        <v>20</v>
      </c>
      <c r="M32">
        <v>80</v>
      </c>
      <c r="N32" t="s">
        <v>318</v>
      </c>
    </row>
    <row r="33" spans="1:14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  <c r="N33" t="s">
        <v>140</v>
      </c>
    </row>
    <row r="34" spans="1:14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3</v>
      </c>
      <c r="J34">
        <v>2</v>
      </c>
      <c r="K34">
        <v>60</v>
      </c>
      <c r="L34">
        <v>40</v>
      </c>
      <c r="M34">
        <v>60</v>
      </c>
      <c r="N34" t="s">
        <v>269</v>
      </c>
    </row>
    <row r="35" spans="1:14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2</v>
      </c>
      <c r="J35">
        <v>3</v>
      </c>
      <c r="K35">
        <v>40</v>
      </c>
      <c r="L35">
        <v>60</v>
      </c>
      <c r="M35">
        <v>40</v>
      </c>
      <c r="N35" t="s">
        <v>270</v>
      </c>
    </row>
    <row r="36" spans="1:14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5</v>
      </c>
      <c r="J36">
        <v>0</v>
      </c>
      <c r="K36">
        <v>100</v>
      </c>
      <c r="L36">
        <v>0</v>
      </c>
      <c r="M36">
        <v>100</v>
      </c>
      <c r="N36" t="s">
        <v>143</v>
      </c>
    </row>
    <row r="37" spans="1:14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5</v>
      </c>
      <c r="J37">
        <v>0</v>
      </c>
      <c r="K37">
        <v>100</v>
      </c>
      <c r="L37">
        <v>0</v>
      </c>
      <c r="M37">
        <v>100</v>
      </c>
      <c r="N37" t="s">
        <v>319</v>
      </c>
    </row>
    <row r="38" spans="1:14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1</v>
      </c>
      <c r="J38">
        <v>4</v>
      </c>
      <c r="K38">
        <v>20</v>
      </c>
      <c r="L38">
        <v>80</v>
      </c>
      <c r="M38">
        <v>20</v>
      </c>
      <c r="N38" t="s">
        <v>320</v>
      </c>
    </row>
    <row r="39" spans="1:14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3</v>
      </c>
      <c r="J39">
        <v>2</v>
      </c>
      <c r="K39">
        <v>60</v>
      </c>
      <c r="L39">
        <v>40</v>
      </c>
      <c r="M39">
        <v>60</v>
      </c>
      <c r="N39" t="s">
        <v>321</v>
      </c>
    </row>
    <row r="40" spans="1:14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5</v>
      </c>
      <c r="J40">
        <v>0</v>
      </c>
      <c r="K40">
        <v>100</v>
      </c>
      <c r="L40">
        <v>0</v>
      </c>
      <c r="M40">
        <v>100</v>
      </c>
      <c r="N40" t="s">
        <v>147</v>
      </c>
    </row>
    <row r="41" spans="1:14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3</v>
      </c>
      <c r="J41">
        <v>2</v>
      </c>
      <c r="K41">
        <v>60</v>
      </c>
      <c r="L41">
        <v>40</v>
      </c>
      <c r="M41">
        <v>60</v>
      </c>
      <c r="N41" t="s">
        <v>322</v>
      </c>
    </row>
    <row r="42" spans="1:14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3</v>
      </c>
      <c r="J42">
        <v>2</v>
      </c>
      <c r="K42">
        <v>60</v>
      </c>
      <c r="L42">
        <v>40</v>
      </c>
      <c r="M42">
        <v>60</v>
      </c>
      <c r="N42" t="s">
        <v>323</v>
      </c>
    </row>
    <row r="43" spans="1:14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3</v>
      </c>
      <c r="J43">
        <v>2</v>
      </c>
      <c r="K43">
        <v>60</v>
      </c>
      <c r="L43">
        <v>40</v>
      </c>
      <c r="M43">
        <v>60</v>
      </c>
      <c r="N43" t="s">
        <v>324</v>
      </c>
    </row>
    <row r="44" spans="1:14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5</v>
      </c>
      <c r="J44">
        <v>0</v>
      </c>
      <c r="K44">
        <v>100</v>
      </c>
      <c r="L44">
        <v>0</v>
      </c>
      <c r="M44">
        <v>100</v>
      </c>
      <c r="N44" t="s">
        <v>151</v>
      </c>
    </row>
    <row r="45" spans="1:14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4</v>
      </c>
      <c r="J45">
        <v>1</v>
      </c>
      <c r="K45">
        <v>80</v>
      </c>
      <c r="L45">
        <v>20</v>
      </c>
      <c r="M45">
        <v>80</v>
      </c>
      <c r="N45" t="s">
        <v>325</v>
      </c>
    </row>
    <row r="46" spans="1:14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5</v>
      </c>
      <c r="J46">
        <v>0</v>
      </c>
      <c r="K46">
        <v>100</v>
      </c>
      <c r="L46">
        <v>0</v>
      </c>
      <c r="M46">
        <v>100</v>
      </c>
      <c r="N46" t="s">
        <v>279</v>
      </c>
    </row>
    <row r="47" spans="1:14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5</v>
      </c>
      <c r="J47">
        <v>0</v>
      </c>
      <c r="K47">
        <v>100</v>
      </c>
      <c r="L47">
        <v>0</v>
      </c>
      <c r="M47">
        <v>100</v>
      </c>
      <c r="N47" t="s">
        <v>280</v>
      </c>
    </row>
    <row r="48" spans="1:14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0</v>
      </c>
      <c r="J48">
        <v>5</v>
      </c>
      <c r="K48">
        <v>0</v>
      </c>
      <c r="L48">
        <v>100</v>
      </c>
      <c r="M48">
        <v>0</v>
      </c>
      <c r="N48" t="s">
        <v>281</v>
      </c>
    </row>
    <row r="49" spans="1:14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  <c r="N49" t="s">
        <v>156</v>
      </c>
    </row>
    <row r="50" spans="1:14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0</v>
      </c>
      <c r="J50">
        <v>5</v>
      </c>
      <c r="K50">
        <v>0</v>
      </c>
      <c r="L50">
        <v>100</v>
      </c>
      <c r="M50">
        <v>0</v>
      </c>
      <c r="N50" t="s">
        <v>326</v>
      </c>
    </row>
    <row r="51" spans="1:14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3</v>
      </c>
      <c r="J51">
        <v>2</v>
      </c>
      <c r="K51">
        <v>60</v>
      </c>
      <c r="L51">
        <v>40</v>
      </c>
      <c r="M51">
        <v>60</v>
      </c>
      <c r="N51" t="s">
        <v>282</v>
      </c>
    </row>
    <row r="52" spans="1:14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3</v>
      </c>
      <c r="J52">
        <v>2</v>
      </c>
      <c r="K52">
        <v>60</v>
      </c>
      <c r="L52">
        <v>40</v>
      </c>
      <c r="M52">
        <v>60</v>
      </c>
      <c r="N52" t="s">
        <v>283</v>
      </c>
    </row>
    <row r="53" spans="1:14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5</v>
      </c>
      <c r="J53">
        <v>0</v>
      </c>
      <c r="K53">
        <v>100</v>
      </c>
      <c r="L53">
        <v>0</v>
      </c>
      <c r="M53">
        <v>100</v>
      </c>
      <c r="N53" t="s">
        <v>284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10FA-EAB0-43D5-930A-4911FBF69FAC}">
  <dimension ref="A1:I69"/>
  <sheetViews>
    <sheetView topLeftCell="A44" workbookViewId="0">
      <selection activeCell="G14" sqref="G14"/>
    </sheetView>
  </sheetViews>
  <sheetFormatPr defaultRowHeight="14.4" x14ac:dyDescent="0.3"/>
  <cols>
    <col min="2" max="2" width="10" customWidth="1"/>
    <col min="3" max="3" width="11.88671875" customWidth="1"/>
    <col min="4" max="4" width="11.109375" customWidth="1"/>
    <col min="5" max="5" width="14.33203125" customWidth="1"/>
    <col min="6" max="6" width="15.5546875" customWidth="1"/>
    <col min="7" max="7" width="21.33203125" customWidth="1"/>
    <col min="8" max="8" width="22.5546875" customWidth="1"/>
    <col min="9" max="9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5</v>
      </c>
      <c r="E2">
        <v>0</v>
      </c>
      <c r="F2">
        <v>5</v>
      </c>
      <c r="G2">
        <v>0</v>
      </c>
      <c r="H2">
        <v>100</v>
      </c>
      <c r="I2" t="s">
        <v>21</v>
      </c>
    </row>
    <row r="3" spans="1:9" x14ac:dyDescent="0.3">
      <c r="A3" t="s">
        <v>9</v>
      </c>
      <c r="B3" t="s">
        <v>10</v>
      </c>
      <c r="C3">
        <v>2</v>
      </c>
      <c r="D3">
        <v>5</v>
      </c>
      <c r="E3">
        <v>0</v>
      </c>
      <c r="F3">
        <v>5</v>
      </c>
      <c r="G3">
        <v>0</v>
      </c>
      <c r="H3">
        <v>100</v>
      </c>
      <c r="I3" t="s">
        <v>22</v>
      </c>
    </row>
    <row r="4" spans="1:9" x14ac:dyDescent="0.3">
      <c r="A4" t="s">
        <v>9</v>
      </c>
      <c r="B4" t="s">
        <v>10</v>
      </c>
      <c r="C4">
        <v>3</v>
      </c>
      <c r="D4">
        <v>5</v>
      </c>
      <c r="E4">
        <v>0</v>
      </c>
      <c r="F4">
        <v>5</v>
      </c>
      <c r="G4">
        <v>0</v>
      </c>
      <c r="H4">
        <v>100</v>
      </c>
      <c r="I4" t="s">
        <v>23</v>
      </c>
    </row>
    <row r="5" spans="1:9" x14ac:dyDescent="0.3">
      <c r="A5" t="s">
        <v>9</v>
      </c>
      <c r="B5" t="s">
        <v>10</v>
      </c>
      <c r="C5">
        <v>4</v>
      </c>
      <c r="D5">
        <v>5</v>
      </c>
      <c r="E5">
        <v>0</v>
      </c>
      <c r="F5">
        <v>5</v>
      </c>
      <c r="G5">
        <v>0</v>
      </c>
      <c r="H5">
        <v>100</v>
      </c>
      <c r="I5" t="s">
        <v>24</v>
      </c>
    </row>
    <row r="6" spans="1:9" x14ac:dyDescent="0.3">
      <c r="A6" t="s">
        <v>9</v>
      </c>
      <c r="B6" t="s">
        <v>11</v>
      </c>
      <c r="C6">
        <v>1</v>
      </c>
      <c r="D6">
        <v>5</v>
      </c>
      <c r="E6">
        <v>5</v>
      </c>
      <c r="F6">
        <v>0</v>
      </c>
      <c r="G6">
        <v>100</v>
      </c>
      <c r="H6">
        <v>0</v>
      </c>
      <c r="I6" t="s">
        <v>186</v>
      </c>
    </row>
    <row r="7" spans="1:9" x14ac:dyDescent="0.3">
      <c r="A7" t="s">
        <v>9</v>
      </c>
      <c r="B7" t="s">
        <v>11</v>
      </c>
      <c r="C7">
        <v>2</v>
      </c>
      <c r="D7">
        <v>5</v>
      </c>
      <c r="E7">
        <v>5</v>
      </c>
      <c r="F7">
        <v>0</v>
      </c>
      <c r="G7">
        <v>100</v>
      </c>
      <c r="H7">
        <v>0</v>
      </c>
      <c r="I7" t="s">
        <v>187</v>
      </c>
    </row>
    <row r="8" spans="1:9" x14ac:dyDescent="0.3">
      <c r="A8" t="s">
        <v>9</v>
      </c>
      <c r="B8" t="s">
        <v>11</v>
      </c>
      <c r="C8">
        <v>3</v>
      </c>
      <c r="D8">
        <v>5</v>
      </c>
      <c r="E8">
        <v>0</v>
      </c>
      <c r="F8">
        <v>5</v>
      </c>
      <c r="G8">
        <v>0</v>
      </c>
      <c r="H8">
        <v>100</v>
      </c>
      <c r="I8" t="s">
        <v>27</v>
      </c>
    </row>
    <row r="9" spans="1:9" x14ac:dyDescent="0.3">
      <c r="A9" t="s">
        <v>9</v>
      </c>
      <c r="B9" t="s">
        <v>11</v>
      </c>
      <c r="C9">
        <v>4</v>
      </c>
      <c r="D9">
        <v>5</v>
      </c>
      <c r="E9">
        <v>4</v>
      </c>
      <c r="F9">
        <v>1</v>
      </c>
      <c r="G9">
        <v>80</v>
      </c>
      <c r="H9">
        <v>20</v>
      </c>
      <c r="I9" t="s">
        <v>286</v>
      </c>
    </row>
    <row r="10" spans="1:9" x14ac:dyDescent="0.3">
      <c r="A10" t="s">
        <v>9</v>
      </c>
      <c r="B10" t="s">
        <v>12</v>
      </c>
      <c r="C10">
        <v>1</v>
      </c>
      <c r="D10">
        <v>5</v>
      </c>
      <c r="E10">
        <v>5</v>
      </c>
      <c r="F10">
        <v>0</v>
      </c>
      <c r="G10">
        <v>100</v>
      </c>
      <c r="H10">
        <v>0</v>
      </c>
      <c r="I10" t="s">
        <v>189</v>
      </c>
    </row>
    <row r="11" spans="1:9" x14ac:dyDescent="0.3">
      <c r="A11" t="s">
        <v>9</v>
      </c>
      <c r="B11" t="s">
        <v>12</v>
      </c>
      <c r="C11">
        <v>2</v>
      </c>
      <c r="D11">
        <v>5</v>
      </c>
      <c r="E11">
        <v>3</v>
      </c>
      <c r="F11">
        <v>2</v>
      </c>
      <c r="G11">
        <v>60</v>
      </c>
      <c r="H11">
        <v>40</v>
      </c>
      <c r="I11" t="s">
        <v>219</v>
      </c>
    </row>
    <row r="12" spans="1:9" x14ac:dyDescent="0.3">
      <c r="A12" t="s">
        <v>9</v>
      </c>
      <c r="B12" t="s">
        <v>12</v>
      </c>
      <c r="C12">
        <v>3</v>
      </c>
      <c r="D12">
        <v>5</v>
      </c>
      <c r="E12">
        <v>1</v>
      </c>
      <c r="F12">
        <v>4</v>
      </c>
      <c r="G12">
        <v>20</v>
      </c>
      <c r="H12">
        <v>80</v>
      </c>
      <c r="I12" t="s">
        <v>167</v>
      </c>
    </row>
    <row r="13" spans="1:9" x14ac:dyDescent="0.3">
      <c r="A13" t="s">
        <v>9</v>
      </c>
      <c r="B13" t="s">
        <v>12</v>
      </c>
      <c r="C13">
        <v>4</v>
      </c>
      <c r="D13">
        <v>5</v>
      </c>
      <c r="E13">
        <v>5</v>
      </c>
      <c r="F13">
        <v>0</v>
      </c>
      <c r="G13">
        <v>100</v>
      </c>
      <c r="H13">
        <v>0</v>
      </c>
      <c r="I13" t="s">
        <v>287</v>
      </c>
    </row>
    <row r="14" spans="1:9" x14ac:dyDescent="0.3">
      <c r="A14" t="s">
        <v>9</v>
      </c>
      <c r="B14" t="s">
        <v>13</v>
      </c>
      <c r="C14">
        <v>1</v>
      </c>
      <c r="D14">
        <v>5</v>
      </c>
      <c r="E14">
        <v>0</v>
      </c>
      <c r="F14">
        <v>5</v>
      </c>
      <c r="G14">
        <v>0</v>
      </c>
      <c r="H14">
        <v>100</v>
      </c>
      <c r="I14" t="s">
        <v>33</v>
      </c>
    </row>
    <row r="15" spans="1:9" x14ac:dyDescent="0.3">
      <c r="A15" t="s">
        <v>9</v>
      </c>
      <c r="B15" t="s">
        <v>13</v>
      </c>
      <c r="C15">
        <v>2</v>
      </c>
      <c r="D15">
        <v>5</v>
      </c>
      <c r="E15">
        <v>1</v>
      </c>
      <c r="F15">
        <v>4</v>
      </c>
      <c r="G15">
        <v>20</v>
      </c>
      <c r="H15">
        <v>80</v>
      </c>
      <c r="I15" t="s">
        <v>288</v>
      </c>
    </row>
    <row r="16" spans="1:9" x14ac:dyDescent="0.3">
      <c r="A16" t="s">
        <v>9</v>
      </c>
      <c r="B16" t="s">
        <v>13</v>
      </c>
      <c r="C16">
        <v>3</v>
      </c>
      <c r="D16">
        <v>5</v>
      </c>
      <c r="E16">
        <v>0</v>
      </c>
      <c r="F16">
        <v>5</v>
      </c>
      <c r="G16">
        <v>0</v>
      </c>
      <c r="H16">
        <v>100</v>
      </c>
      <c r="I16" t="s">
        <v>35</v>
      </c>
    </row>
    <row r="17" spans="1:9" x14ac:dyDescent="0.3">
      <c r="A17" t="s">
        <v>9</v>
      </c>
      <c r="B17" t="s">
        <v>13</v>
      </c>
      <c r="C17">
        <v>4</v>
      </c>
      <c r="D17">
        <v>5</v>
      </c>
      <c r="E17">
        <v>2</v>
      </c>
      <c r="F17">
        <v>3</v>
      </c>
      <c r="G17">
        <v>40</v>
      </c>
      <c r="H17">
        <v>60</v>
      </c>
      <c r="I17" t="s">
        <v>192</v>
      </c>
    </row>
    <row r="18" spans="1:9" x14ac:dyDescent="0.3">
      <c r="A18" t="s">
        <v>9</v>
      </c>
      <c r="B18" t="s">
        <v>14</v>
      </c>
      <c r="C18">
        <v>1</v>
      </c>
      <c r="D18">
        <v>5</v>
      </c>
      <c r="E18">
        <v>3</v>
      </c>
      <c r="F18">
        <v>2</v>
      </c>
      <c r="G18">
        <v>60</v>
      </c>
      <c r="H18">
        <v>40</v>
      </c>
      <c r="I18" t="s">
        <v>289</v>
      </c>
    </row>
    <row r="19" spans="1:9" x14ac:dyDescent="0.3">
      <c r="A19" t="s">
        <v>9</v>
      </c>
      <c r="B19" t="s">
        <v>14</v>
      </c>
      <c r="C19">
        <v>2</v>
      </c>
      <c r="D19">
        <v>5</v>
      </c>
      <c r="E19">
        <v>0</v>
      </c>
      <c r="F19">
        <v>5</v>
      </c>
      <c r="G19">
        <v>0</v>
      </c>
      <c r="H19">
        <v>100</v>
      </c>
      <c r="I19" t="s">
        <v>38</v>
      </c>
    </row>
    <row r="20" spans="1:9" x14ac:dyDescent="0.3">
      <c r="A20" t="s">
        <v>9</v>
      </c>
      <c r="B20" t="s">
        <v>14</v>
      </c>
      <c r="C20">
        <v>3</v>
      </c>
      <c r="D20">
        <v>5</v>
      </c>
      <c r="E20">
        <v>0</v>
      </c>
      <c r="F20">
        <v>5</v>
      </c>
      <c r="G20">
        <v>0</v>
      </c>
      <c r="H20">
        <v>100</v>
      </c>
      <c r="I20" t="s">
        <v>39</v>
      </c>
    </row>
    <row r="21" spans="1:9" x14ac:dyDescent="0.3">
      <c r="A21" t="s">
        <v>9</v>
      </c>
      <c r="B21" t="s">
        <v>14</v>
      </c>
      <c r="C21">
        <v>4</v>
      </c>
      <c r="D21">
        <v>5</v>
      </c>
      <c r="E21">
        <v>0</v>
      </c>
      <c r="F21">
        <v>5</v>
      </c>
      <c r="G21">
        <v>0</v>
      </c>
      <c r="H21">
        <v>100</v>
      </c>
      <c r="I21" t="s">
        <v>40</v>
      </c>
    </row>
    <row r="22" spans="1:9" x14ac:dyDescent="0.3">
      <c r="A22" t="s">
        <v>15</v>
      </c>
      <c r="B22" t="s">
        <v>10</v>
      </c>
      <c r="C22">
        <v>1</v>
      </c>
      <c r="D22">
        <v>5</v>
      </c>
      <c r="E22">
        <v>5</v>
      </c>
      <c r="F22">
        <v>0</v>
      </c>
      <c r="G22">
        <v>100</v>
      </c>
      <c r="H22">
        <v>0</v>
      </c>
      <c r="I22" t="s">
        <v>193</v>
      </c>
    </row>
    <row r="23" spans="1:9" x14ac:dyDescent="0.3">
      <c r="A23" t="s">
        <v>15</v>
      </c>
      <c r="B23" t="s">
        <v>10</v>
      </c>
      <c r="C23">
        <v>2</v>
      </c>
      <c r="D23">
        <v>5</v>
      </c>
      <c r="E23">
        <v>1</v>
      </c>
      <c r="F23">
        <v>4</v>
      </c>
      <c r="G23">
        <v>20</v>
      </c>
      <c r="H23">
        <v>80</v>
      </c>
      <c r="I23" t="s">
        <v>290</v>
      </c>
    </row>
    <row r="24" spans="1:9" x14ac:dyDescent="0.3">
      <c r="A24" t="s">
        <v>15</v>
      </c>
      <c r="B24" t="s">
        <v>10</v>
      </c>
      <c r="C24">
        <v>3</v>
      </c>
      <c r="D24">
        <v>5</v>
      </c>
      <c r="E24">
        <v>0</v>
      </c>
      <c r="F24">
        <v>5</v>
      </c>
      <c r="G24">
        <v>0</v>
      </c>
      <c r="H24">
        <v>100</v>
      </c>
      <c r="I24" t="s">
        <v>43</v>
      </c>
    </row>
    <row r="25" spans="1:9" x14ac:dyDescent="0.3">
      <c r="A25" t="s">
        <v>15</v>
      </c>
      <c r="B25" t="s">
        <v>10</v>
      </c>
      <c r="C25">
        <v>4</v>
      </c>
      <c r="D25">
        <v>5</v>
      </c>
      <c r="E25">
        <v>4</v>
      </c>
      <c r="F25">
        <v>1</v>
      </c>
      <c r="G25">
        <v>80</v>
      </c>
      <c r="H25">
        <v>20</v>
      </c>
      <c r="I25" t="s">
        <v>195</v>
      </c>
    </row>
    <row r="26" spans="1:9" x14ac:dyDescent="0.3">
      <c r="A26" t="s">
        <v>15</v>
      </c>
      <c r="B26" t="s">
        <v>11</v>
      </c>
      <c r="C26">
        <v>1</v>
      </c>
      <c r="D26">
        <v>5</v>
      </c>
      <c r="E26">
        <v>2</v>
      </c>
      <c r="F26">
        <v>3</v>
      </c>
      <c r="G26">
        <v>40</v>
      </c>
      <c r="H26">
        <v>60</v>
      </c>
      <c r="I26" t="s">
        <v>238</v>
      </c>
    </row>
    <row r="27" spans="1:9" x14ac:dyDescent="0.3">
      <c r="A27" t="s">
        <v>15</v>
      </c>
      <c r="B27" t="s">
        <v>11</v>
      </c>
      <c r="C27">
        <v>2</v>
      </c>
      <c r="D27">
        <v>5</v>
      </c>
      <c r="E27">
        <v>3</v>
      </c>
      <c r="F27">
        <v>2</v>
      </c>
      <c r="G27">
        <v>60</v>
      </c>
      <c r="H27">
        <v>40</v>
      </c>
      <c r="I27" t="s">
        <v>291</v>
      </c>
    </row>
    <row r="28" spans="1:9" x14ac:dyDescent="0.3">
      <c r="A28" t="s">
        <v>15</v>
      </c>
      <c r="B28" t="s">
        <v>11</v>
      </c>
      <c r="C28">
        <v>3</v>
      </c>
      <c r="D28">
        <v>5</v>
      </c>
      <c r="E28">
        <v>0</v>
      </c>
      <c r="F28">
        <v>5</v>
      </c>
      <c r="G28">
        <v>0</v>
      </c>
      <c r="H28">
        <v>100</v>
      </c>
      <c r="I28" t="s">
        <v>47</v>
      </c>
    </row>
    <row r="29" spans="1:9" x14ac:dyDescent="0.3">
      <c r="A29" t="s">
        <v>15</v>
      </c>
      <c r="B29" t="s">
        <v>11</v>
      </c>
      <c r="C29">
        <v>4</v>
      </c>
      <c r="D29">
        <v>5</v>
      </c>
      <c r="E29">
        <v>0</v>
      </c>
      <c r="F29">
        <v>5</v>
      </c>
      <c r="G29">
        <v>0</v>
      </c>
      <c r="H29">
        <v>100</v>
      </c>
      <c r="I29" t="s">
        <v>240</v>
      </c>
    </row>
    <row r="30" spans="1:9" x14ac:dyDescent="0.3">
      <c r="A30" t="s">
        <v>15</v>
      </c>
      <c r="B30" t="s">
        <v>13</v>
      </c>
      <c r="C30">
        <v>1</v>
      </c>
      <c r="D30">
        <v>5</v>
      </c>
      <c r="E30">
        <v>0</v>
      </c>
      <c r="F30">
        <v>5</v>
      </c>
      <c r="G30">
        <v>0</v>
      </c>
      <c r="H30">
        <v>100</v>
      </c>
      <c r="I30" t="s">
        <v>49</v>
      </c>
    </row>
    <row r="31" spans="1:9" x14ac:dyDescent="0.3">
      <c r="A31" t="s">
        <v>15</v>
      </c>
      <c r="B31" t="s">
        <v>13</v>
      </c>
      <c r="C31">
        <v>2</v>
      </c>
      <c r="D31">
        <v>5</v>
      </c>
      <c r="E31">
        <v>0</v>
      </c>
      <c r="F31">
        <v>5</v>
      </c>
      <c r="G31">
        <v>0</v>
      </c>
      <c r="H31">
        <v>100</v>
      </c>
      <c r="I31" t="s">
        <v>172</v>
      </c>
    </row>
    <row r="32" spans="1:9" x14ac:dyDescent="0.3">
      <c r="A32" t="s">
        <v>15</v>
      </c>
      <c r="B32" t="s">
        <v>13</v>
      </c>
      <c r="C32">
        <v>3</v>
      </c>
      <c r="D32">
        <v>5</v>
      </c>
      <c r="E32">
        <v>0</v>
      </c>
      <c r="F32">
        <v>5</v>
      </c>
      <c r="G32">
        <v>0</v>
      </c>
      <c r="H32">
        <v>100</v>
      </c>
      <c r="I32" t="s">
        <v>51</v>
      </c>
    </row>
    <row r="33" spans="1:9" x14ac:dyDescent="0.3">
      <c r="A33" t="s">
        <v>15</v>
      </c>
      <c r="B33" t="s">
        <v>13</v>
      </c>
      <c r="C33">
        <v>4</v>
      </c>
      <c r="D33">
        <v>5</v>
      </c>
      <c r="E33">
        <v>0</v>
      </c>
      <c r="F33">
        <v>5</v>
      </c>
      <c r="G33">
        <v>0</v>
      </c>
      <c r="H33">
        <v>100</v>
      </c>
      <c r="I33" t="s">
        <v>199</v>
      </c>
    </row>
    <row r="34" spans="1:9" x14ac:dyDescent="0.3">
      <c r="A34" t="s">
        <v>15</v>
      </c>
      <c r="B34" t="s">
        <v>14</v>
      </c>
      <c r="C34">
        <v>1</v>
      </c>
      <c r="D34">
        <v>5</v>
      </c>
      <c r="E34">
        <v>4</v>
      </c>
      <c r="F34">
        <v>1</v>
      </c>
      <c r="G34">
        <v>80</v>
      </c>
      <c r="H34">
        <v>20</v>
      </c>
      <c r="I34" t="s">
        <v>223</v>
      </c>
    </row>
    <row r="35" spans="1:9" x14ac:dyDescent="0.3">
      <c r="A35" t="s">
        <v>15</v>
      </c>
      <c r="B35" t="s">
        <v>14</v>
      </c>
      <c r="C35">
        <v>2</v>
      </c>
      <c r="D35">
        <v>5</v>
      </c>
      <c r="E35">
        <v>2</v>
      </c>
      <c r="F35">
        <v>3</v>
      </c>
      <c r="G35">
        <v>40</v>
      </c>
      <c r="H35">
        <v>60</v>
      </c>
      <c r="I35" t="s">
        <v>241</v>
      </c>
    </row>
    <row r="36" spans="1:9" x14ac:dyDescent="0.3">
      <c r="A36" t="s">
        <v>15</v>
      </c>
      <c r="B36" t="s">
        <v>14</v>
      </c>
      <c r="C36">
        <v>3</v>
      </c>
      <c r="D36">
        <v>5</v>
      </c>
      <c r="E36">
        <v>0</v>
      </c>
      <c r="F36">
        <v>5</v>
      </c>
      <c r="G36">
        <v>0</v>
      </c>
      <c r="H36">
        <v>100</v>
      </c>
      <c r="I36" t="s">
        <v>55</v>
      </c>
    </row>
    <row r="37" spans="1:9" x14ac:dyDescent="0.3">
      <c r="A37" t="s">
        <v>15</v>
      </c>
      <c r="B37" t="s">
        <v>14</v>
      </c>
      <c r="C37">
        <v>4</v>
      </c>
      <c r="D37">
        <v>5</v>
      </c>
      <c r="E37">
        <v>2</v>
      </c>
      <c r="F37">
        <v>3</v>
      </c>
      <c r="G37">
        <v>40</v>
      </c>
      <c r="H37">
        <v>60</v>
      </c>
      <c r="I37" t="s">
        <v>224</v>
      </c>
    </row>
    <row r="38" spans="1:9" x14ac:dyDescent="0.3">
      <c r="A38" t="s">
        <v>16</v>
      </c>
      <c r="B38" t="s">
        <v>10</v>
      </c>
      <c r="C38">
        <v>1</v>
      </c>
      <c r="D38">
        <v>5</v>
      </c>
      <c r="E38">
        <v>5</v>
      </c>
      <c r="F38">
        <v>0</v>
      </c>
      <c r="G38">
        <v>100</v>
      </c>
      <c r="H38">
        <v>0</v>
      </c>
      <c r="I38" t="s">
        <v>203</v>
      </c>
    </row>
    <row r="39" spans="1:9" x14ac:dyDescent="0.3">
      <c r="A39" t="s">
        <v>16</v>
      </c>
      <c r="B39" t="s">
        <v>10</v>
      </c>
      <c r="C39">
        <v>2</v>
      </c>
      <c r="D39">
        <v>5</v>
      </c>
      <c r="E39">
        <v>3</v>
      </c>
      <c r="F39">
        <v>2</v>
      </c>
      <c r="G39">
        <v>60</v>
      </c>
      <c r="H39">
        <v>40</v>
      </c>
      <c r="I39" t="s">
        <v>292</v>
      </c>
    </row>
    <row r="40" spans="1:9" x14ac:dyDescent="0.3">
      <c r="A40" t="s">
        <v>16</v>
      </c>
      <c r="B40" t="s">
        <v>10</v>
      </c>
      <c r="C40">
        <v>3</v>
      </c>
      <c r="D40">
        <v>5</v>
      </c>
      <c r="E40">
        <v>0</v>
      </c>
      <c r="F40">
        <v>5</v>
      </c>
      <c r="G40">
        <v>0</v>
      </c>
      <c r="H40">
        <v>100</v>
      </c>
      <c r="I40" t="s">
        <v>293</v>
      </c>
    </row>
    <row r="41" spans="1:9" x14ac:dyDescent="0.3">
      <c r="A41" t="s">
        <v>16</v>
      </c>
      <c r="B41" t="s">
        <v>10</v>
      </c>
      <c r="C41">
        <v>4</v>
      </c>
      <c r="D41">
        <v>5</v>
      </c>
      <c r="E41">
        <v>4</v>
      </c>
      <c r="F41">
        <v>1</v>
      </c>
      <c r="G41">
        <v>80</v>
      </c>
      <c r="H41">
        <v>20</v>
      </c>
      <c r="I41" t="s">
        <v>294</v>
      </c>
    </row>
    <row r="42" spans="1:9" x14ac:dyDescent="0.3">
      <c r="A42" t="s">
        <v>16</v>
      </c>
      <c r="B42" t="s">
        <v>11</v>
      </c>
      <c r="C42">
        <v>1</v>
      </c>
      <c r="D42">
        <v>5</v>
      </c>
      <c r="E42">
        <v>0</v>
      </c>
      <c r="F42">
        <v>5</v>
      </c>
      <c r="G42">
        <v>0</v>
      </c>
      <c r="H42">
        <v>100</v>
      </c>
      <c r="I42" t="s">
        <v>61</v>
      </c>
    </row>
    <row r="43" spans="1:9" x14ac:dyDescent="0.3">
      <c r="A43" t="s">
        <v>16</v>
      </c>
      <c r="B43" t="s">
        <v>11</v>
      </c>
      <c r="C43">
        <v>2</v>
      </c>
      <c r="D43">
        <v>5</v>
      </c>
      <c r="E43">
        <v>0</v>
      </c>
      <c r="F43">
        <v>5</v>
      </c>
      <c r="G43">
        <v>0</v>
      </c>
      <c r="H43">
        <v>100</v>
      </c>
      <c r="I43" t="s">
        <v>62</v>
      </c>
    </row>
    <row r="44" spans="1:9" x14ac:dyDescent="0.3">
      <c r="A44" t="s">
        <v>16</v>
      </c>
      <c r="B44" t="s">
        <v>11</v>
      </c>
      <c r="C44">
        <v>3</v>
      </c>
      <c r="D44">
        <v>5</v>
      </c>
      <c r="E44">
        <v>0</v>
      </c>
      <c r="F44">
        <v>5</v>
      </c>
      <c r="G44">
        <v>0</v>
      </c>
      <c r="H44">
        <v>100</v>
      </c>
      <c r="I44" t="s">
        <v>295</v>
      </c>
    </row>
    <row r="45" spans="1:9" x14ac:dyDescent="0.3">
      <c r="A45" t="s">
        <v>16</v>
      </c>
      <c r="B45" t="s">
        <v>11</v>
      </c>
      <c r="C45">
        <v>4</v>
      </c>
      <c r="D45">
        <v>5</v>
      </c>
      <c r="E45">
        <v>0</v>
      </c>
      <c r="F45">
        <v>5</v>
      </c>
      <c r="G45">
        <v>0</v>
      </c>
      <c r="H45">
        <v>100</v>
      </c>
      <c r="I45" t="s">
        <v>64</v>
      </c>
    </row>
    <row r="46" spans="1:9" x14ac:dyDescent="0.3">
      <c r="A46" t="s">
        <v>16</v>
      </c>
      <c r="B46" t="s">
        <v>13</v>
      </c>
      <c r="C46">
        <v>1</v>
      </c>
      <c r="D46">
        <v>5</v>
      </c>
      <c r="E46">
        <v>4</v>
      </c>
      <c r="F46">
        <v>1</v>
      </c>
      <c r="G46">
        <v>80</v>
      </c>
      <c r="H46">
        <v>20</v>
      </c>
      <c r="I46" t="s">
        <v>178</v>
      </c>
    </row>
    <row r="47" spans="1:9" x14ac:dyDescent="0.3">
      <c r="A47" t="s">
        <v>16</v>
      </c>
      <c r="B47" t="s">
        <v>13</v>
      </c>
      <c r="C47">
        <v>2</v>
      </c>
      <c r="D47">
        <v>5</v>
      </c>
      <c r="E47">
        <v>2</v>
      </c>
      <c r="F47">
        <v>3</v>
      </c>
      <c r="G47">
        <v>40</v>
      </c>
      <c r="H47">
        <v>60</v>
      </c>
      <c r="I47" t="s">
        <v>296</v>
      </c>
    </row>
    <row r="48" spans="1:9" x14ac:dyDescent="0.3">
      <c r="A48" t="s">
        <v>16</v>
      </c>
      <c r="B48" t="s">
        <v>13</v>
      </c>
      <c r="C48">
        <v>3</v>
      </c>
      <c r="D48">
        <v>5</v>
      </c>
      <c r="E48">
        <v>2</v>
      </c>
      <c r="F48">
        <v>3</v>
      </c>
      <c r="G48">
        <v>40</v>
      </c>
      <c r="H48">
        <v>60</v>
      </c>
      <c r="I48" t="s">
        <v>297</v>
      </c>
    </row>
    <row r="49" spans="1:9" x14ac:dyDescent="0.3">
      <c r="A49" t="s">
        <v>16</v>
      </c>
      <c r="B49" t="s">
        <v>13</v>
      </c>
      <c r="C49">
        <v>4</v>
      </c>
      <c r="D49">
        <v>5</v>
      </c>
      <c r="E49">
        <v>3</v>
      </c>
      <c r="F49">
        <v>2</v>
      </c>
      <c r="G49">
        <v>60</v>
      </c>
      <c r="H49">
        <v>40</v>
      </c>
      <c r="I49" t="s">
        <v>207</v>
      </c>
    </row>
    <row r="50" spans="1:9" x14ac:dyDescent="0.3">
      <c r="A50" t="s">
        <v>16</v>
      </c>
      <c r="B50" t="s">
        <v>14</v>
      </c>
      <c r="C50">
        <v>1</v>
      </c>
      <c r="D50">
        <v>5</v>
      </c>
      <c r="E50">
        <v>2</v>
      </c>
      <c r="F50">
        <v>3</v>
      </c>
      <c r="G50">
        <v>40</v>
      </c>
      <c r="H50">
        <v>60</v>
      </c>
      <c r="I50" t="s">
        <v>298</v>
      </c>
    </row>
    <row r="51" spans="1:9" x14ac:dyDescent="0.3">
      <c r="A51" t="s">
        <v>16</v>
      </c>
      <c r="B51" t="s">
        <v>14</v>
      </c>
      <c r="C51">
        <v>2</v>
      </c>
      <c r="D51">
        <v>5</v>
      </c>
      <c r="E51">
        <v>2</v>
      </c>
      <c r="F51">
        <v>3</v>
      </c>
      <c r="G51">
        <v>40</v>
      </c>
      <c r="H51">
        <v>60</v>
      </c>
      <c r="I51" t="s">
        <v>70</v>
      </c>
    </row>
    <row r="52" spans="1:9" x14ac:dyDescent="0.3">
      <c r="A52" t="s">
        <v>16</v>
      </c>
      <c r="B52" t="s">
        <v>14</v>
      </c>
      <c r="C52">
        <v>3</v>
      </c>
      <c r="D52">
        <v>5</v>
      </c>
      <c r="E52">
        <v>0</v>
      </c>
      <c r="F52">
        <v>5</v>
      </c>
      <c r="G52">
        <v>0</v>
      </c>
      <c r="H52">
        <v>100</v>
      </c>
      <c r="I52" t="s">
        <v>208</v>
      </c>
    </row>
    <row r="53" spans="1:9" x14ac:dyDescent="0.3">
      <c r="A53" t="s">
        <v>16</v>
      </c>
      <c r="B53" t="s">
        <v>14</v>
      </c>
      <c r="C53">
        <v>4</v>
      </c>
      <c r="D53">
        <v>5</v>
      </c>
      <c r="E53">
        <v>0</v>
      </c>
      <c r="F53">
        <v>5</v>
      </c>
      <c r="G53">
        <v>0</v>
      </c>
      <c r="H53">
        <v>100</v>
      </c>
      <c r="I53" t="s">
        <v>230</v>
      </c>
    </row>
    <row r="54" spans="1:9" x14ac:dyDescent="0.3">
      <c r="A54" t="s">
        <v>17</v>
      </c>
      <c r="B54" t="s">
        <v>10</v>
      </c>
      <c r="C54">
        <v>1</v>
      </c>
      <c r="D54">
        <v>5</v>
      </c>
      <c r="E54">
        <v>4</v>
      </c>
      <c r="F54">
        <v>1</v>
      </c>
      <c r="G54">
        <v>80</v>
      </c>
      <c r="H54">
        <v>20</v>
      </c>
      <c r="I54" t="s">
        <v>73</v>
      </c>
    </row>
    <row r="55" spans="1:9" x14ac:dyDescent="0.3">
      <c r="A55" t="s">
        <v>17</v>
      </c>
      <c r="B55" t="s">
        <v>10</v>
      </c>
      <c r="C55">
        <v>2</v>
      </c>
      <c r="D55">
        <v>5</v>
      </c>
      <c r="E55">
        <v>2</v>
      </c>
      <c r="F55">
        <v>3</v>
      </c>
      <c r="G55">
        <v>40</v>
      </c>
      <c r="H55">
        <v>60</v>
      </c>
      <c r="I55" t="s">
        <v>299</v>
      </c>
    </row>
    <row r="56" spans="1:9" x14ac:dyDescent="0.3">
      <c r="A56" t="s">
        <v>17</v>
      </c>
      <c r="B56" t="s">
        <v>10</v>
      </c>
      <c r="C56">
        <v>3</v>
      </c>
      <c r="D56">
        <v>5</v>
      </c>
      <c r="E56">
        <v>0</v>
      </c>
      <c r="F56">
        <v>5</v>
      </c>
      <c r="G56">
        <v>0</v>
      </c>
      <c r="H56">
        <v>100</v>
      </c>
      <c r="I56" t="s">
        <v>75</v>
      </c>
    </row>
    <row r="57" spans="1:9" x14ac:dyDescent="0.3">
      <c r="A57" t="s">
        <v>17</v>
      </c>
      <c r="B57" t="s">
        <v>10</v>
      </c>
      <c r="C57">
        <v>4</v>
      </c>
      <c r="D57">
        <v>5</v>
      </c>
      <c r="E57">
        <v>2</v>
      </c>
      <c r="F57">
        <v>3</v>
      </c>
      <c r="G57">
        <v>40</v>
      </c>
      <c r="H57">
        <v>60</v>
      </c>
      <c r="I57" t="s">
        <v>245</v>
      </c>
    </row>
    <row r="58" spans="1:9" x14ac:dyDescent="0.3">
      <c r="A58" t="s">
        <v>17</v>
      </c>
      <c r="B58" t="s">
        <v>11</v>
      </c>
      <c r="C58">
        <v>1</v>
      </c>
      <c r="D58">
        <v>5</v>
      </c>
      <c r="E58">
        <v>2</v>
      </c>
      <c r="F58">
        <v>3</v>
      </c>
      <c r="G58">
        <v>40</v>
      </c>
      <c r="H58">
        <v>60</v>
      </c>
      <c r="I58" t="s">
        <v>211</v>
      </c>
    </row>
    <row r="59" spans="1:9" x14ac:dyDescent="0.3">
      <c r="A59" t="s">
        <v>17</v>
      </c>
      <c r="B59" t="s">
        <v>11</v>
      </c>
      <c r="C59">
        <v>2</v>
      </c>
      <c r="D59">
        <v>5</v>
      </c>
      <c r="E59">
        <v>4</v>
      </c>
      <c r="F59">
        <v>1</v>
      </c>
      <c r="G59">
        <v>80</v>
      </c>
      <c r="H59">
        <v>20</v>
      </c>
      <c r="I59" t="s">
        <v>300</v>
      </c>
    </row>
    <row r="60" spans="1:9" x14ac:dyDescent="0.3">
      <c r="A60" t="s">
        <v>17</v>
      </c>
      <c r="B60" t="s">
        <v>11</v>
      </c>
      <c r="C60">
        <v>3</v>
      </c>
      <c r="D60">
        <v>5</v>
      </c>
      <c r="E60">
        <v>0</v>
      </c>
      <c r="F60">
        <v>5</v>
      </c>
      <c r="G60">
        <v>0</v>
      </c>
      <c r="H60">
        <v>100</v>
      </c>
      <c r="I60" t="s">
        <v>79</v>
      </c>
    </row>
    <row r="61" spans="1:9" x14ac:dyDescent="0.3">
      <c r="A61" t="s">
        <v>17</v>
      </c>
      <c r="B61" t="s">
        <v>11</v>
      </c>
      <c r="C61">
        <v>4</v>
      </c>
      <c r="D61">
        <v>5</v>
      </c>
      <c r="E61">
        <v>1</v>
      </c>
      <c r="F61">
        <v>4</v>
      </c>
      <c r="G61">
        <v>20</v>
      </c>
      <c r="H61">
        <v>80</v>
      </c>
      <c r="I61" t="s">
        <v>213</v>
      </c>
    </row>
    <row r="62" spans="1:9" x14ac:dyDescent="0.3">
      <c r="A62" t="s">
        <v>17</v>
      </c>
      <c r="B62" t="s">
        <v>13</v>
      </c>
      <c r="C62">
        <v>1</v>
      </c>
      <c r="D62">
        <v>5</v>
      </c>
      <c r="E62">
        <v>2</v>
      </c>
      <c r="F62">
        <v>3</v>
      </c>
      <c r="G62">
        <v>40</v>
      </c>
      <c r="H62">
        <v>60</v>
      </c>
      <c r="I62" t="s">
        <v>301</v>
      </c>
    </row>
    <row r="63" spans="1:9" x14ac:dyDescent="0.3">
      <c r="A63" t="s">
        <v>17</v>
      </c>
      <c r="B63" t="s">
        <v>13</v>
      </c>
      <c r="C63">
        <v>2</v>
      </c>
      <c r="D63">
        <v>5</v>
      </c>
      <c r="E63">
        <v>1</v>
      </c>
      <c r="F63">
        <v>4</v>
      </c>
      <c r="G63">
        <v>20</v>
      </c>
      <c r="H63">
        <v>80</v>
      </c>
      <c r="I63" t="s">
        <v>246</v>
      </c>
    </row>
    <row r="64" spans="1:9" x14ac:dyDescent="0.3">
      <c r="A64" t="s">
        <v>17</v>
      </c>
      <c r="B64" t="s">
        <v>13</v>
      </c>
      <c r="C64">
        <v>3</v>
      </c>
      <c r="D64">
        <v>5</v>
      </c>
      <c r="E64">
        <v>0</v>
      </c>
      <c r="F64">
        <v>5</v>
      </c>
      <c r="G64">
        <v>0</v>
      </c>
      <c r="H64">
        <v>100</v>
      </c>
      <c r="I64" t="s">
        <v>83</v>
      </c>
    </row>
    <row r="65" spans="1:9" x14ac:dyDescent="0.3">
      <c r="A65" t="s">
        <v>17</v>
      </c>
      <c r="B65" t="s">
        <v>13</v>
      </c>
      <c r="C65">
        <v>4</v>
      </c>
      <c r="D65">
        <v>5</v>
      </c>
      <c r="E65">
        <v>1</v>
      </c>
      <c r="F65">
        <v>4</v>
      </c>
      <c r="G65">
        <v>20</v>
      </c>
      <c r="H65">
        <v>80</v>
      </c>
      <c r="I65" t="s">
        <v>181</v>
      </c>
    </row>
    <row r="66" spans="1:9" x14ac:dyDescent="0.3">
      <c r="A66" t="s">
        <v>17</v>
      </c>
      <c r="B66" t="s">
        <v>14</v>
      </c>
      <c r="C66">
        <v>1</v>
      </c>
      <c r="D66">
        <v>5</v>
      </c>
      <c r="E66">
        <v>5</v>
      </c>
      <c r="F66">
        <v>0</v>
      </c>
      <c r="G66">
        <v>100</v>
      </c>
      <c r="H66">
        <v>0</v>
      </c>
      <c r="I66" t="s">
        <v>247</v>
      </c>
    </row>
    <row r="67" spans="1:9" x14ac:dyDescent="0.3">
      <c r="A67" t="s">
        <v>17</v>
      </c>
      <c r="B67" t="s">
        <v>14</v>
      </c>
      <c r="C67">
        <v>2</v>
      </c>
      <c r="D67">
        <v>5</v>
      </c>
      <c r="E67">
        <v>0</v>
      </c>
      <c r="F67">
        <v>5</v>
      </c>
      <c r="G67">
        <v>0</v>
      </c>
      <c r="H67">
        <v>100</v>
      </c>
      <c r="I67" t="s">
        <v>302</v>
      </c>
    </row>
    <row r="68" spans="1:9" x14ac:dyDescent="0.3">
      <c r="A68" t="s">
        <v>17</v>
      </c>
      <c r="B68" t="s">
        <v>14</v>
      </c>
      <c r="C68">
        <v>3</v>
      </c>
      <c r="D68">
        <v>5</v>
      </c>
      <c r="E68">
        <v>0</v>
      </c>
      <c r="F68">
        <v>5</v>
      </c>
      <c r="G68">
        <v>0</v>
      </c>
      <c r="H68">
        <v>100</v>
      </c>
      <c r="I68" t="s">
        <v>87</v>
      </c>
    </row>
    <row r="69" spans="1:9" x14ac:dyDescent="0.3">
      <c r="A69" t="s">
        <v>17</v>
      </c>
      <c r="B69" t="s">
        <v>14</v>
      </c>
      <c r="C69">
        <v>4</v>
      </c>
      <c r="D69">
        <v>5</v>
      </c>
      <c r="E69">
        <v>0</v>
      </c>
      <c r="F69">
        <v>5</v>
      </c>
      <c r="G69">
        <v>0</v>
      </c>
      <c r="H69">
        <v>100</v>
      </c>
      <c r="I69" t="s">
        <v>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F04E-831D-4CA5-BF34-ECEDF9E7F3C3}">
  <dimension ref="A1:N53"/>
  <sheetViews>
    <sheetView topLeftCell="A28" workbookViewId="0">
      <selection sqref="A1:N53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  <col min="14" max="14" width="19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8</v>
      </c>
    </row>
    <row r="2" spans="1:14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0</v>
      </c>
      <c r="J2">
        <v>5</v>
      </c>
      <c r="K2">
        <v>0</v>
      </c>
      <c r="L2">
        <v>100</v>
      </c>
      <c r="M2">
        <v>0</v>
      </c>
      <c r="N2" t="s">
        <v>249</v>
      </c>
    </row>
    <row r="3" spans="1:14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4</v>
      </c>
      <c r="J3">
        <v>1</v>
      </c>
      <c r="K3">
        <v>80</v>
      </c>
      <c r="L3">
        <v>20</v>
      </c>
      <c r="M3">
        <v>80</v>
      </c>
      <c r="N3" t="s">
        <v>250</v>
      </c>
    </row>
    <row r="4" spans="1:14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3</v>
      </c>
      <c r="J4">
        <v>2</v>
      </c>
      <c r="K4">
        <v>60</v>
      </c>
      <c r="L4">
        <v>40</v>
      </c>
      <c r="M4">
        <v>60</v>
      </c>
      <c r="N4" t="s">
        <v>251</v>
      </c>
    </row>
    <row r="5" spans="1:14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5</v>
      </c>
      <c r="J5">
        <v>0</v>
      </c>
      <c r="K5">
        <v>100</v>
      </c>
      <c r="L5">
        <v>0</v>
      </c>
      <c r="M5">
        <v>100</v>
      </c>
      <c r="N5" t="s">
        <v>111</v>
      </c>
    </row>
    <row r="6" spans="1:14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2</v>
      </c>
      <c r="J6">
        <v>3</v>
      </c>
      <c r="K6">
        <v>40</v>
      </c>
      <c r="L6">
        <v>60</v>
      </c>
      <c r="M6">
        <v>40</v>
      </c>
      <c r="N6" t="s">
        <v>113</v>
      </c>
    </row>
    <row r="7" spans="1:14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1</v>
      </c>
      <c r="J7">
        <v>4</v>
      </c>
      <c r="K7">
        <v>20</v>
      </c>
      <c r="L7">
        <v>80</v>
      </c>
      <c r="M7">
        <v>20</v>
      </c>
      <c r="N7" t="s">
        <v>252</v>
      </c>
    </row>
    <row r="8" spans="1:14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1</v>
      </c>
      <c r="J8">
        <v>4</v>
      </c>
      <c r="K8">
        <v>20</v>
      </c>
      <c r="L8">
        <v>80</v>
      </c>
      <c r="M8">
        <v>20</v>
      </c>
      <c r="N8" t="s">
        <v>115</v>
      </c>
    </row>
    <row r="9" spans="1:14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2</v>
      </c>
      <c r="J9">
        <v>3</v>
      </c>
      <c r="K9">
        <v>40</v>
      </c>
      <c r="L9">
        <v>60</v>
      </c>
      <c r="M9">
        <v>40</v>
      </c>
      <c r="N9" t="s">
        <v>253</v>
      </c>
    </row>
    <row r="10" spans="1:14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5</v>
      </c>
      <c r="J10">
        <v>0</v>
      </c>
      <c r="K10">
        <v>100</v>
      </c>
      <c r="L10">
        <v>0</v>
      </c>
      <c r="M10">
        <v>100</v>
      </c>
      <c r="N10" t="s">
        <v>117</v>
      </c>
    </row>
    <row r="11" spans="1:14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2</v>
      </c>
      <c r="J11">
        <v>3</v>
      </c>
      <c r="K11">
        <v>40</v>
      </c>
      <c r="L11">
        <v>60</v>
      </c>
      <c r="M11">
        <v>40</v>
      </c>
      <c r="N11" t="s">
        <v>254</v>
      </c>
    </row>
    <row r="12" spans="1:14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0</v>
      </c>
      <c r="J12">
        <v>5</v>
      </c>
      <c r="K12">
        <v>0</v>
      </c>
      <c r="L12">
        <v>100</v>
      </c>
      <c r="M12">
        <v>0</v>
      </c>
      <c r="N12" t="s">
        <v>119</v>
      </c>
    </row>
    <row r="13" spans="1:14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5</v>
      </c>
      <c r="J13">
        <v>0</v>
      </c>
      <c r="K13">
        <v>100</v>
      </c>
      <c r="L13">
        <v>0</v>
      </c>
      <c r="M13">
        <v>100</v>
      </c>
      <c r="N13" t="s">
        <v>120</v>
      </c>
    </row>
    <row r="14" spans="1:14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5</v>
      </c>
      <c r="J14">
        <v>0</v>
      </c>
      <c r="K14">
        <v>100</v>
      </c>
      <c r="L14">
        <v>0</v>
      </c>
      <c r="M14">
        <v>100</v>
      </c>
      <c r="N14" t="s">
        <v>121</v>
      </c>
    </row>
    <row r="15" spans="1:14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0</v>
      </c>
      <c r="J15">
        <v>5</v>
      </c>
      <c r="K15">
        <v>0</v>
      </c>
      <c r="L15">
        <v>100</v>
      </c>
      <c r="M15">
        <v>0</v>
      </c>
      <c r="N15" t="s">
        <v>122</v>
      </c>
    </row>
    <row r="16" spans="1:14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  <c r="N16" t="s">
        <v>123</v>
      </c>
    </row>
    <row r="17" spans="1:14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3</v>
      </c>
      <c r="J17">
        <v>2</v>
      </c>
      <c r="K17">
        <v>60</v>
      </c>
      <c r="L17">
        <v>40</v>
      </c>
      <c r="M17">
        <v>60</v>
      </c>
      <c r="N17" t="s">
        <v>124</v>
      </c>
    </row>
    <row r="18" spans="1:14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2</v>
      </c>
      <c r="J18">
        <v>3</v>
      </c>
      <c r="K18">
        <v>40</v>
      </c>
      <c r="L18">
        <v>60</v>
      </c>
      <c r="M18">
        <v>40</v>
      </c>
      <c r="N18" t="s">
        <v>255</v>
      </c>
    </row>
    <row r="19" spans="1:14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5</v>
      </c>
      <c r="J19">
        <v>0</v>
      </c>
      <c r="K19">
        <v>100</v>
      </c>
      <c r="L19">
        <v>0</v>
      </c>
      <c r="M19">
        <v>100</v>
      </c>
      <c r="N19" t="s">
        <v>256</v>
      </c>
    </row>
    <row r="20" spans="1:14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2</v>
      </c>
      <c r="J20">
        <v>3</v>
      </c>
      <c r="K20">
        <v>40</v>
      </c>
      <c r="L20">
        <v>60</v>
      </c>
      <c r="M20">
        <v>40</v>
      </c>
      <c r="N20" t="s">
        <v>257</v>
      </c>
    </row>
    <row r="21" spans="1:14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5</v>
      </c>
      <c r="J21">
        <v>0</v>
      </c>
      <c r="K21">
        <v>100</v>
      </c>
      <c r="L21">
        <v>0</v>
      </c>
      <c r="M21">
        <v>100</v>
      </c>
      <c r="N21" t="s">
        <v>258</v>
      </c>
    </row>
    <row r="22" spans="1:14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3</v>
      </c>
      <c r="J22">
        <v>2</v>
      </c>
      <c r="K22">
        <v>60</v>
      </c>
      <c r="L22">
        <v>40</v>
      </c>
      <c r="M22">
        <v>60</v>
      </c>
      <c r="N22" t="s">
        <v>259</v>
      </c>
    </row>
    <row r="23" spans="1:14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4</v>
      </c>
      <c r="J23">
        <v>1</v>
      </c>
      <c r="K23">
        <v>80</v>
      </c>
      <c r="L23">
        <v>20</v>
      </c>
      <c r="M23">
        <v>80</v>
      </c>
      <c r="N23" t="s">
        <v>260</v>
      </c>
    </row>
    <row r="24" spans="1:14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0</v>
      </c>
      <c r="J24">
        <v>5</v>
      </c>
      <c r="K24">
        <v>0</v>
      </c>
      <c r="L24">
        <v>100</v>
      </c>
      <c r="M24">
        <v>0</v>
      </c>
      <c r="N24" t="s">
        <v>261</v>
      </c>
    </row>
    <row r="25" spans="1:14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4</v>
      </c>
      <c r="J25">
        <v>1</v>
      </c>
      <c r="K25">
        <v>80</v>
      </c>
      <c r="L25">
        <v>20</v>
      </c>
      <c r="M25">
        <v>80</v>
      </c>
      <c r="N25" t="s">
        <v>262</v>
      </c>
    </row>
    <row r="26" spans="1:14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2</v>
      </c>
      <c r="J26">
        <v>3</v>
      </c>
      <c r="K26">
        <v>40</v>
      </c>
      <c r="L26">
        <v>60</v>
      </c>
      <c r="M26">
        <v>40</v>
      </c>
      <c r="N26" t="s">
        <v>263</v>
      </c>
    </row>
    <row r="27" spans="1:14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5</v>
      </c>
      <c r="J27">
        <v>0</v>
      </c>
      <c r="K27">
        <v>100</v>
      </c>
      <c r="L27">
        <v>0</v>
      </c>
      <c r="M27">
        <v>100</v>
      </c>
      <c r="N27" t="s">
        <v>264</v>
      </c>
    </row>
    <row r="28" spans="1:14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1</v>
      </c>
      <c r="J28">
        <v>4</v>
      </c>
      <c r="K28">
        <v>20</v>
      </c>
      <c r="L28">
        <v>80</v>
      </c>
      <c r="M28">
        <v>20</v>
      </c>
      <c r="N28" t="s">
        <v>265</v>
      </c>
    </row>
    <row r="29" spans="1:14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  <c r="N29" t="s">
        <v>136</v>
      </c>
    </row>
    <row r="30" spans="1:14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4</v>
      </c>
      <c r="J30">
        <v>1</v>
      </c>
      <c r="K30">
        <v>80</v>
      </c>
      <c r="L30">
        <v>20</v>
      </c>
      <c r="M30">
        <v>80</v>
      </c>
      <c r="N30" t="s">
        <v>266</v>
      </c>
    </row>
    <row r="31" spans="1:14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5</v>
      </c>
      <c r="J31">
        <v>0</v>
      </c>
      <c r="K31">
        <v>100</v>
      </c>
      <c r="L31">
        <v>0</v>
      </c>
      <c r="M31">
        <v>100</v>
      </c>
      <c r="N31" t="s">
        <v>267</v>
      </c>
    </row>
    <row r="32" spans="1:14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5</v>
      </c>
      <c r="J32">
        <v>0</v>
      </c>
      <c r="K32">
        <v>100</v>
      </c>
      <c r="L32">
        <v>0</v>
      </c>
      <c r="M32">
        <v>100</v>
      </c>
      <c r="N32" t="s">
        <v>268</v>
      </c>
    </row>
    <row r="33" spans="1:14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  <c r="N33" t="s">
        <v>140</v>
      </c>
    </row>
    <row r="34" spans="1:14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3</v>
      </c>
      <c r="J34">
        <v>2</v>
      </c>
      <c r="K34">
        <v>60</v>
      </c>
      <c r="L34">
        <v>40</v>
      </c>
      <c r="M34">
        <v>60</v>
      </c>
      <c r="N34" t="s">
        <v>269</v>
      </c>
    </row>
    <row r="35" spans="1:14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2</v>
      </c>
      <c r="J35">
        <v>3</v>
      </c>
      <c r="K35">
        <v>40</v>
      </c>
      <c r="L35">
        <v>60</v>
      </c>
      <c r="M35">
        <v>40</v>
      </c>
      <c r="N35" t="s">
        <v>270</v>
      </c>
    </row>
    <row r="36" spans="1:14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4</v>
      </c>
      <c r="J36">
        <v>1</v>
      </c>
      <c r="K36">
        <v>80</v>
      </c>
      <c r="L36">
        <v>20</v>
      </c>
      <c r="M36">
        <v>80</v>
      </c>
      <c r="N36" t="s">
        <v>271</v>
      </c>
    </row>
    <row r="37" spans="1:14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4</v>
      </c>
      <c r="J37">
        <v>1</v>
      </c>
      <c r="K37">
        <v>80</v>
      </c>
      <c r="L37">
        <v>20</v>
      </c>
      <c r="M37">
        <v>80</v>
      </c>
      <c r="N37" t="s">
        <v>272</v>
      </c>
    </row>
    <row r="38" spans="1:14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2</v>
      </c>
      <c r="J38">
        <v>3</v>
      </c>
      <c r="K38">
        <v>40</v>
      </c>
      <c r="L38">
        <v>60</v>
      </c>
      <c r="M38">
        <v>40</v>
      </c>
      <c r="N38" t="s">
        <v>273</v>
      </c>
    </row>
    <row r="39" spans="1:14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1</v>
      </c>
      <c r="J39">
        <v>4</v>
      </c>
      <c r="K39">
        <v>20</v>
      </c>
      <c r="L39">
        <v>80</v>
      </c>
      <c r="M39">
        <v>20</v>
      </c>
      <c r="N39" t="s">
        <v>274</v>
      </c>
    </row>
    <row r="40" spans="1:14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5</v>
      </c>
      <c r="J40">
        <v>0</v>
      </c>
      <c r="K40">
        <v>100</v>
      </c>
      <c r="L40">
        <v>0</v>
      </c>
      <c r="M40">
        <v>100</v>
      </c>
      <c r="N40" t="s">
        <v>147</v>
      </c>
    </row>
    <row r="41" spans="1:14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2</v>
      </c>
      <c r="J41">
        <v>3</v>
      </c>
      <c r="K41">
        <v>40</v>
      </c>
      <c r="L41">
        <v>60</v>
      </c>
      <c r="M41">
        <v>40</v>
      </c>
      <c r="N41" t="s">
        <v>275</v>
      </c>
    </row>
    <row r="42" spans="1:14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1</v>
      </c>
      <c r="J42">
        <v>4</v>
      </c>
      <c r="K42">
        <v>20</v>
      </c>
      <c r="L42">
        <v>80</v>
      </c>
      <c r="M42">
        <v>20</v>
      </c>
      <c r="N42" t="s">
        <v>276</v>
      </c>
    </row>
    <row r="43" spans="1:14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1</v>
      </c>
      <c r="J43">
        <v>4</v>
      </c>
      <c r="K43">
        <v>20</v>
      </c>
      <c r="L43">
        <v>80</v>
      </c>
      <c r="M43">
        <v>20</v>
      </c>
      <c r="N43" t="s">
        <v>277</v>
      </c>
    </row>
    <row r="44" spans="1:14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4</v>
      </c>
      <c r="J44">
        <v>1</v>
      </c>
      <c r="K44">
        <v>80</v>
      </c>
      <c r="L44">
        <v>20</v>
      </c>
      <c r="M44">
        <v>80</v>
      </c>
      <c r="N44" t="s">
        <v>278</v>
      </c>
    </row>
    <row r="45" spans="1:14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5</v>
      </c>
      <c r="J45">
        <v>0</v>
      </c>
      <c r="K45">
        <v>100</v>
      </c>
      <c r="L45">
        <v>0</v>
      </c>
      <c r="M45">
        <v>100</v>
      </c>
      <c r="N45" t="s">
        <v>152</v>
      </c>
    </row>
    <row r="46" spans="1:14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5</v>
      </c>
      <c r="J46">
        <v>0</v>
      </c>
      <c r="K46">
        <v>100</v>
      </c>
      <c r="L46">
        <v>0</v>
      </c>
      <c r="M46">
        <v>100</v>
      </c>
      <c r="N46" t="s">
        <v>279</v>
      </c>
    </row>
    <row r="47" spans="1:14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5</v>
      </c>
      <c r="J47">
        <v>0</v>
      </c>
      <c r="K47">
        <v>100</v>
      </c>
      <c r="L47">
        <v>0</v>
      </c>
      <c r="M47">
        <v>100</v>
      </c>
      <c r="N47" t="s">
        <v>280</v>
      </c>
    </row>
    <row r="48" spans="1:14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0</v>
      </c>
      <c r="J48">
        <v>5</v>
      </c>
      <c r="K48">
        <v>0</v>
      </c>
      <c r="L48">
        <v>100</v>
      </c>
      <c r="M48">
        <v>0</v>
      </c>
      <c r="N48" t="s">
        <v>281</v>
      </c>
    </row>
    <row r="49" spans="1:14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  <c r="N49" t="s">
        <v>156</v>
      </c>
    </row>
    <row r="50" spans="1:14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1</v>
      </c>
      <c r="J50">
        <v>4</v>
      </c>
      <c r="K50">
        <v>20</v>
      </c>
      <c r="L50">
        <v>80</v>
      </c>
      <c r="M50">
        <v>20</v>
      </c>
      <c r="N50" t="s">
        <v>157</v>
      </c>
    </row>
    <row r="51" spans="1:14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3</v>
      </c>
      <c r="J51">
        <v>2</v>
      </c>
      <c r="K51">
        <v>60</v>
      </c>
      <c r="L51">
        <v>40</v>
      </c>
      <c r="M51">
        <v>60</v>
      </c>
      <c r="N51" t="s">
        <v>282</v>
      </c>
    </row>
    <row r="52" spans="1:14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3</v>
      </c>
      <c r="J52">
        <v>2</v>
      </c>
      <c r="K52">
        <v>60</v>
      </c>
      <c r="L52">
        <v>40</v>
      </c>
      <c r="M52">
        <v>60</v>
      </c>
      <c r="N52" t="s">
        <v>283</v>
      </c>
    </row>
    <row r="53" spans="1:14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5</v>
      </c>
      <c r="J53">
        <v>0</v>
      </c>
      <c r="K53">
        <v>100</v>
      </c>
      <c r="L53">
        <v>0</v>
      </c>
      <c r="M53">
        <v>100</v>
      </c>
      <c r="N53" t="s">
        <v>284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8889-04FC-4D52-938F-14AEA7716DF3}">
  <dimension ref="A1:I69"/>
  <sheetViews>
    <sheetView topLeftCell="A44" workbookViewId="0">
      <selection activeCell="C5" sqref="C5"/>
    </sheetView>
  </sheetViews>
  <sheetFormatPr defaultRowHeight="14.4" x14ac:dyDescent="0.3"/>
  <cols>
    <col min="2" max="2" width="10" customWidth="1"/>
    <col min="3" max="3" width="11.88671875" customWidth="1"/>
    <col min="4" max="4" width="11.109375" customWidth="1"/>
    <col min="5" max="5" width="14.33203125" customWidth="1"/>
    <col min="6" max="6" width="15.5546875" customWidth="1"/>
    <col min="7" max="7" width="21.33203125" customWidth="1"/>
    <col min="8" max="8" width="22.5546875" customWidth="1"/>
    <col min="9" max="9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5</v>
      </c>
      <c r="E2">
        <v>1</v>
      </c>
      <c r="F2">
        <v>4</v>
      </c>
      <c r="G2">
        <v>20</v>
      </c>
      <c r="H2">
        <v>80</v>
      </c>
      <c r="I2" t="s">
        <v>185</v>
      </c>
    </row>
    <row r="3" spans="1:9" x14ac:dyDescent="0.3">
      <c r="A3" t="s">
        <v>9</v>
      </c>
      <c r="B3" t="s">
        <v>10</v>
      </c>
      <c r="C3">
        <v>2</v>
      </c>
      <c r="D3">
        <v>5</v>
      </c>
      <c r="E3">
        <v>0</v>
      </c>
      <c r="F3">
        <v>5</v>
      </c>
      <c r="G3">
        <v>0</v>
      </c>
      <c r="H3">
        <v>100</v>
      </c>
      <c r="I3" t="s">
        <v>22</v>
      </c>
    </row>
    <row r="4" spans="1:9" x14ac:dyDescent="0.3">
      <c r="A4" t="s">
        <v>9</v>
      </c>
      <c r="B4" t="s">
        <v>10</v>
      </c>
      <c r="C4">
        <v>3</v>
      </c>
      <c r="D4">
        <v>5</v>
      </c>
      <c r="E4">
        <v>0</v>
      </c>
      <c r="F4">
        <v>5</v>
      </c>
      <c r="G4">
        <v>0</v>
      </c>
      <c r="H4">
        <v>100</v>
      </c>
      <c r="I4" t="s">
        <v>23</v>
      </c>
    </row>
    <row r="5" spans="1:9" x14ac:dyDescent="0.3">
      <c r="A5" t="s">
        <v>9</v>
      </c>
      <c r="B5" t="s">
        <v>10</v>
      </c>
      <c r="C5">
        <v>4</v>
      </c>
      <c r="D5">
        <v>5</v>
      </c>
      <c r="E5">
        <v>0</v>
      </c>
      <c r="F5">
        <v>5</v>
      </c>
      <c r="G5">
        <v>0</v>
      </c>
      <c r="H5">
        <v>100</v>
      </c>
      <c r="I5" t="s">
        <v>24</v>
      </c>
    </row>
    <row r="6" spans="1:9" x14ac:dyDescent="0.3">
      <c r="A6" t="s">
        <v>9</v>
      </c>
      <c r="B6" t="s">
        <v>11</v>
      </c>
      <c r="C6">
        <v>1</v>
      </c>
      <c r="D6">
        <v>5</v>
      </c>
      <c r="E6">
        <v>5</v>
      </c>
      <c r="F6">
        <v>0</v>
      </c>
      <c r="G6">
        <v>100</v>
      </c>
      <c r="H6">
        <v>0</v>
      </c>
      <c r="I6" t="s">
        <v>186</v>
      </c>
    </row>
    <row r="7" spans="1:9" x14ac:dyDescent="0.3">
      <c r="A7" t="s">
        <v>9</v>
      </c>
      <c r="B7" t="s">
        <v>11</v>
      </c>
      <c r="C7">
        <v>2</v>
      </c>
      <c r="D7">
        <v>5</v>
      </c>
      <c r="E7">
        <v>5</v>
      </c>
      <c r="F7">
        <v>0</v>
      </c>
      <c r="G7">
        <v>100</v>
      </c>
      <c r="H7">
        <v>0</v>
      </c>
      <c r="I7" t="s">
        <v>187</v>
      </c>
    </row>
    <row r="8" spans="1:9" x14ac:dyDescent="0.3">
      <c r="A8" t="s">
        <v>9</v>
      </c>
      <c r="B8" t="s">
        <v>11</v>
      </c>
      <c r="C8">
        <v>3</v>
      </c>
      <c r="D8">
        <v>5</v>
      </c>
      <c r="E8">
        <v>0</v>
      </c>
      <c r="F8">
        <v>5</v>
      </c>
      <c r="G8">
        <v>0</v>
      </c>
      <c r="H8">
        <v>100</v>
      </c>
      <c r="I8" t="s">
        <v>27</v>
      </c>
    </row>
    <row r="9" spans="1:9" x14ac:dyDescent="0.3">
      <c r="A9" t="s">
        <v>9</v>
      </c>
      <c r="B9" t="s">
        <v>11</v>
      </c>
      <c r="C9">
        <v>4</v>
      </c>
      <c r="D9">
        <v>5</v>
      </c>
      <c r="E9">
        <v>5</v>
      </c>
      <c r="F9">
        <v>0</v>
      </c>
      <c r="G9">
        <v>100</v>
      </c>
      <c r="H9">
        <v>0</v>
      </c>
      <c r="I9" t="s">
        <v>28</v>
      </c>
    </row>
    <row r="10" spans="1:9" x14ac:dyDescent="0.3">
      <c r="A10" t="s">
        <v>9</v>
      </c>
      <c r="B10" t="s">
        <v>12</v>
      </c>
      <c r="C10">
        <v>1</v>
      </c>
      <c r="D10">
        <v>5</v>
      </c>
      <c r="E10">
        <v>5</v>
      </c>
      <c r="F10">
        <v>0</v>
      </c>
      <c r="G10">
        <v>100</v>
      </c>
      <c r="H10">
        <v>0</v>
      </c>
      <c r="I10" t="s">
        <v>189</v>
      </c>
    </row>
    <row r="11" spans="1:9" x14ac:dyDescent="0.3">
      <c r="A11" t="s">
        <v>9</v>
      </c>
      <c r="B11" t="s">
        <v>12</v>
      </c>
      <c r="C11">
        <v>2</v>
      </c>
      <c r="D11">
        <v>5</v>
      </c>
      <c r="E11">
        <v>1</v>
      </c>
      <c r="F11">
        <v>4</v>
      </c>
      <c r="G11">
        <v>20</v>
      </c>
      <c r="H11">
        <v>80</v>
      </c>
      <c r="I11" t="s">
        <v>236</v>
      </c>
    </row>
    <row r="12" spans="1:9" x14ac:dyDescent="0.3">
      <c r="A12" t="s">
        <v>9</v>
      </c>
      <c r="B12" t="s">
        <v>12</v>
      </c>
      <c r="C12">
        <v>3</v>
      </c>
      <c r="D12">
        <v>5</v>
      </c>
      <c r="E12">
        <v>0</v>
      </c>
      <c r="F12">
        <v>5</v>
      </c>
      <c r="G12">
        <v>0</v>
      </c>
      <c r="H12">
        <v>100</v>
      </c>
      <c r="I12" t="s">
        <v>31</v>
      </c>
    </row>
    <row r="13" spans="1:9" x14ac:dyDescent="0.3">
      <c r="A13" t="s">
        <v>9</v>
      </c>
      <c r="B13" t="s">
        <v>12</v>
      </c>
      <c r="C13">
        <v>4</v>
      </c>
      <c r="D13">
        <v>5</v>
      </c>
      <c r="E13">
        <v>4</v>
      </c>
      <c r="F13">
        <v>1</v>
      </c>
      <c r="G13">
        <v>80</v>
      </c>
      <c r="H13">
        <v>20</v>
      </c>
      <c r="I13" t="s">
        <v>191</v>
      </c>
    </row>
    <row r="14" spans="1:9" x14ac:dyDescent="0.3">
      <c r="A14" t="s">
        <v>9</v>
      </c>
      <c r="B14" t="s">
        <v>13</v>
      </c>
      <c r="C14">
        <v>1</v>
      </c>
      <c r="D14">
        <v>5</v>
      </c>
      <c r="E14">
        <v>0</v>
      </c>
      <c r="F14">
        <v>5</v>
      </c>
      <c r="G14">
        <v>0</v>
      </c>
      <c r="H14">
        <v>100</v>
      </c>
      <c r="I14" t="s">
        <v>33</v>
      </c>
    </row>
    <row r="15" spans="1:9" x14ac:dyDescent="0.3">
      <c r="A15" t="s">
        <v>9</v>
      </c>
      <c r="B15" t="s">
        <v>13</v>
      </c>
      <c r="C15">
        <v>2</v>
      </c>
      <c r="D15">
        <v>5</v>
      </c>
      <c r="E15">
        <v>0</v>
      </c>
      <c r="F15">
        <v>5</v>
      </c>
      <c r="G15">
        <v>0</v>
      </c>
      <c r="H15">
        <v>100</v>
      </c>
      <c r="I15" t="s">
        <v>34</v>
      </c>
    </row>
    <row r="16" spans="1:9" x14ac:dyDescent="0.3">
      <c r="A16" t="s">
        <v>9</v>
      </c>
      <c r="B16" t="s">
        <v>13</v>
      </c>
      <c r="C16">
        <v>3</v>
      </c>
      <c r="D16">
        <v>5</v>
      </c>
      <c r="E16">
        <v>0</v>
      </c>
      <c r="F16">
        <v>5</v>
      </c>
      <c r="G16">
        <v>0</v>
      </c>
      <c r="H16">
        <v>100</v>
      </c>
      <c r="I16" t="s">
        <v>35</v>
      </c>
    </row>
    <row r="17" spans="1:9" x14ac:dyDescent="0.3">
      <c r="A17" t="s">
        <v>9</v>
      </c>
      <c r="B17" t="s">
        <v>13</v>
      </c>
      <c r="C17">
        <v>4</v>
      </c>
      <c r="D17">
        <v>5</v>
      </c>
      <c r="E17">
        <v>1</v>
      </c>
      <c r="F17">
        <v>4</v>
      </c>
      <c r="G17">
        <v>20</v>
      </c>
      <c r="H17">
        <v>80</v>
      </c>
      <c r="I17" t="s">
        <v>237</v>
      </c>
    </row>
    <row r="18" spans="1:9" x14ac:dyDescent="0.3">
      <c r="A18" t="s">
        <v>9</v>
      </c>
      <c r="B18" t="s">
        <v>14</v>
      </c>
      <c r="C18">
        <v>1</v>
      </c>
      <c r="D18">
        <v>5</v>
      </c>
      <c r="E18">
        <v>0</v>
      </c>
      <c r="F18">
        <v>5</v>
      </c>
      <c r="G18">
        <v>0</v>
      </c>
      <c r="H18">
        <v>100</v>
      </c>
      <c r="I18" t="s">
        <v>37</v>
      </c>
    </row>
    <row r="19" spans="1:9" x14ac:dyDescent="0.3">
      <c r="A19" t="s">
        <v>9</v>
      </c>
      <c r="B19" t="s">
        <v>14</v>
      </c>
      <c r="C19">
        <v>2</v>
      </c>
      <c r="D19">
        <v>5</v>
      </c>
      <c r="E19">
        <v>0</v>
      </c>
      <c r="F19">
        <v>5</v>
      </c>
      <c r="G19">
        <v>0</v>
      </c>
      <c r="H19">
        <v>100</v>
      </c>
      <c r="I19" t="s">
        <v>38</v>
      </c>
    </row>
    <row r="20" spans="1:9" x14ac:dyDescent="0.3">
      <c r="A20" t="s">
        <v>9</v>
      </c>
      <c r="B20" t="s">
        <v>14</v>
      </c>
      <c r="C20">
        <v>3</v>
      </c>
      <c r="D20">
        <v>5</v>
      </c>
      <c r="E20">
        <v>0</v>
      </c>
      <c r="F20">
        <v>5</v>
      </c>
      <c r="G20">
        <v>0</v>
      </c>
      <c r="H20">
        <v>100</v>
      </c>
      <c r="I20" t="s">
        <v>39</v>
      </c>
    </row>
    <row r="21" spans="1:9" x14ac:dyDescent="0.3">
      <c r="A21" t="s">
        <v>9</v>
      </c>
      <c r="B21" t="s">
        <v>14</v>
      </c>
      <c r="C21">
        <v>4</v>
      </c>
      <c r="D21">
        <v>5</v>
      </c>
      <c r="E21">
        <v>0</v>
      </c>
      <c r="F21">
        <v>5</v>
      </c>
      <c r="G21">
        <v>0</v>
      </c>
      <c r="H21">
        <v>100</v>
      </c>
      <c r="I21" t="s">
        <v>40</v>
      </c>
    </row>
    <row r="22" spans="1:9" x14ac:dyDescent="0.3">
      <c r="A22" t="s">
        <v>15</v>
      </c>
      <c r="B22" t="s">
        <v>10</v>
      </c>
      <c r="C22">
        <v>1</v>
      </c>
      <c r="D22">
        <v>5</v>
      </c>
      <c r="E22">
        <v>5</v>
      </c>
      <c r="F22">
        <v>0</v>
      </c>
      <c r="G22">
        <v>100</v>
      </c>
      <c r="H22">
        <v>0</v>
      </c>
      <c r="I22" t="s">
        <v>193</v>
      </c>
    </row>
    <row r="23" spans="1:9" x14ac:dyDescent="0.3">
      <c r="A23" t="s">
        <v>15</v>
      </c>
      <c r="B23" t="s">
        <v>10</v>
      </c>
      <c r="C23">
        <v>2</v>
      </c>
      <c r="D23">
        <v>5</v>
      </c>
      <c r="E23">
        <v>0</v>
      </c>
      <c r="F23">
        <v>5</v>
      </c>
      <c r="G23">
        <v>0</v>
      </c>
      <c r="H23">
        <v>100</v>
      </c>
      <c r="I23" t="s">
        <v>42</v>
      </c>
    </row>
    <row r="24" spans="1:9" x14ac:dyDescent="0.3">
      <c r="A24" t="s">
        <v>15</v>
      </c>
      <c r="B24" t="s">
        <v>10</v>
      </c>
      <c r="C24">
        <v>3</v>
      </c>
      <c r="D24">
        <v>5</v>
      </c>
      <c r="E24">
        <v>0</v>
      </c>
      <c r="F24">
        <v>5</v>
      </c>
      <c r="G24">
        <v>0</v>
      </c>
      <c r="H24">
        <v>100</v>
      </c>
      <c r="I24" t="s">
        <v>43</v>
      </c>
    </row>
    <row r="25" spans="1:9" x14ac:dyDescent="0.3">
      <c r="A25" t="s">
        <v>15</v>
      </c>
      <c r="B25" t="s">
        <v>10</v>
      </c>
      <c r="C25">
        <v>4</v>
      </c>
      <c r="D25">
        <v>5</v>
      </c>
      <c r="E25">
        <v>3</v>
      </c>
      <c r="F25">
        <v>2</v>
      </c>
      <c r="G25">
        <v>60</v>
      </c>
      <c r="H25">
        <v>40</v>
      </c>
      <c r="I25" t="s">
        <v>221</v>
      </c>
    </row>
    <row r="26" spans="1:9" x14ac:dyDescent="0.3">
      <c r="A26" t="s">
        <v>15</v>
      </c>
      <c r="B26" t="s">
        <v>11</v>
      </c>
      <c r="C26">
        <v>1</v>
      </c>
      <c r="D26">
        <v>5</v>
      </c>
      <c r="E26">
        <v>2</v>
      </c>
      <c r="F26">
        <v>3</v>
      </c>
      <c r="G26">
        <v>40</v>
      </c>
      <c r="H26">
        <v>60</v>
      </c>
      <c r="I26" t="s">
        <v>238</v>
      </c>
    </row>
    <row r="27" spans="1:9" x14ac:dyDescent="0.3">
      <c r="A27" t="s">
        <v>15</v>
      </c>
      <c r="B27" t="s">
        <v>11</v>
      </c>
      <c r="C27">
        <v>2</v>
      </c>
      <c r="D27">
        <v>5</v>
      </c>
      <c r="E27">
        <v>4</v>
      </c>
      <c r="F27">
        <v>1</v>
      </c>
      <c r="G27">
        <v>80</v>
      </c>
      <c r="H27">
        <v>20</v>
      </c>
      <c r="I27" t="s">
        <v>239</v>
      </c>
    </row>
    <row r="28" spans="1:9" x14ac:dyDescent="0.3">
      <c r="A28" t="s">
        <v>15</v>
      </c>
      <c r="B28" t="s">
        <v>11</v>
      </c>
      <c r="C28">
        <v>3</v>
      </c>
      <c r="D28">
        <v>5</v>
      </c>
      <c r="E28">
        <v>0</v>
      </c>
      <c r="F28">
        <v>5</v>
      </c>
      <c r="G28">
        <v>0</v>
      </c>
      <c r="H28">
        <v>100</v>
      </c>
      <c r="I28" t="s">
        <v>47</v>
      </c>
    </row>
    <row r="29" spans="1:9" x14ac:dyDescent="0.3">
      <c r="A29" t="s">
        <v>15</v>
      </c>
      <c r="B29" t="s">
        <v>11</v>
      </c>
      <c r="C29">
        <v>4</v>
      </c>
      <c r="D29">
        <v>5</v>
      </c>
      <c r="E29">
        <v>0</v>
      </c>
      <c r="F29">
        <v>5</v>
      </c>
      <c r="G29">
        <v>0</v>
      </c>
      <c r="H29">
        <v>100</v>
      </c>
      <c r="I29" t="s">
        <v>240</v>
      </c>
    </row>
    <row r="30" spans="1:9" x14ac:dyDescent="0.3">
      <c r="A30" t="s">
        <v>15</v>
      </c>
      <c r="B30" t="s">
        <v>13</v>
      </c>
      <c r="C30">
        <v>1</v>
      </c>
      <c r="D30">
        <v>5</v>
      </c>
      <c r="E30">
        <v>0</v>
      </c>
      <c r="F30">
        <v>5</v>
      </c>
      <c r="G30">
        <v>0</v>
      </c>
      <c r="H30">
        <v>100</v>
      </c>
      <c r="I30" t="s">
        <v>49</v>
      </c>
    </row>
    <row r="31" spans="1:9" x14ac:dyDescent="0.3">
      <c r="A31" t="s">
        <v>15</v>
      </c>
      <c r="B31" t="s">
        <v>13</v>
      </c>
      <c r="C31">
        <v>2</v>
      </c>
      <c r="D31">
        <v>5</v>
      </c>
      <c r="E31">
        <v>0</v>
      </c>
      <c r="F31">
        <v>5</v>
      </c>
      <c r="G31">
        <v>0</v>
      </c>
      <c r="H31">
        <v>100</v>
      </c>
      <c r="I31" t="s">
        <v>172</v>
      </c>
    </row>
    <row r="32" spans="1:9" x14ac:dyDescent="0.3">
      <c r="A32" t="s">
        <v>15</v>
      </c>
      <c r="B32" t="s">
        <v>13</v>
      </c>
      <c r="C32">
        <v>3</v>
      </c>
      <c r="D32">
        <v>5</v>
      </c>
      <c r="E32">
        <v>0</v>
      </c>
      <c r="F32">
        <v>5</v>
      </c>
      <c r="G32">
        <v>0</v>
      </c>
      <c r="H32">
        <v>100</v>
      </c>
      <c r="I32" t="s">
        <v>51</v>
      </c>
    </row>
    <row r="33" spans="1:9" x14ac:dyDescent="0.3">
      <c r="A33" t="s">
        <v>15</v>
      </c>
      <c r="B33" t="s">
        <v>13</v>
      </c>
      <c r="C33">
        <v>4</v>
      </c>
      <c r="D33">
        <v>5</v>
      </c>
      <c r="E33">
        <v>0</v>
      </c>
      <c r="F33">
        <v>5</v>
      </c>
      <c r="G33">
        <v>0</v>
      </c>
      <c r="H33">
        <v>100</v>
      </c>
      <c r="I33" t="s">
        <v>199</v>
      </c>
    </row>
    <row r="34" spans="1:9" x14ac:dyDescent="0.3">
      <c r="A34" t="s">
        <v>15</v>
      </c>
      <c r="B34" t="s">
        <v>14</v>
      </c>
      <c r="C34">
        <v>1</v>
      </c>
      <c r="D34">
        <v>5</v>
      </c>
      <c r="E34">
        <v>3</v>
      </c>
      <c r="F34">
        <v>2</v>
      </c>
      <c r="G34">
        <v>60</v>
      </c>
      <c r="H34">
        <v>40</v>
      </c>
      <c r="I34" t="s">
        <v>173</v>
      </c>
    </row>
    <row r="35" spans="1:9" x14ac:dyDescent="0.3">
      <c r="A35" t="s">
        <v>15</v>
      </c>
      <c r="B35" t="s">
        <v>14</v>
      </c>
      <c r="C35">
        <v>2</v>
      </c>
      <c r="D35">
        <v>5</v>
      </c>
      <c r="E35">
        <v>2</v>
      </c>
      <c r="F35">
        <v>3</v>
      </c>
      <c r="G35">
        <v>40</v>
      </c>
      <c r="H35">
        <v>60</v>
      </c>
      <c r="I35" t="s">
        <v>241</v>
      </c>
    </row>
    <row r="36" spans="1:9" x14ac:dyDescent="0.3">
      <c r="A36" t="s">
        <v>15</v>
      </c>
      <c r="B36" t="s">
        <v>14</v>
      </c>
      <c r="C36">
        <v>3</v>
      </c>
      <c r="D36">
        <v>5</v>
      </c>
      <c r="E36">
        <v>0</v>
      </c>
      <c r="F36">
        <v>5</v>
      </c>
      <c r="G36">
        <v>0</v>
      </c>
      <c r="H36">
        <v>100</v>
      </c>
      <c r="I36" t="s">
        <v>55</v>
      </c>
    </row>
    <row r="37" spans="1:9" x14ac:dyDescent="0.3">
      <c r="A37" t="s">
        <v>15</v>
      </c>
      <c r="B37" t="s">
        <v>14</v>
      </c>
      <c r="C37">
        <v>4</v>
      </c>
      <c r="D37">
        <v>5</v>
      </c>
      <c r="E37">
        <v>2</v>
      </c>
      <c r="F37">
        <v>3</v>
      </c>
      <c r="G37">
        <v>40</v>
      </c>
      <c r="H37">
        <v>60</v>
      </c>
      <c r="I37" t="s">
        <v>224</v>
      </c>
    </row>
    <row r="38" spans="1:9" x14ac:dyDescent="0.3">
      <c r="A38" t="s">
        <v>16</v>
      </c>
      <c r="B38" t="s">
        <v>10</v>
      </c>
      <c r="C38">
        <v>1</v>
      </c>
      <c r="D38">
        <v>5</v>
      </c>
      <c r="E38">
        <v>5</v>
      </c>
      <c r="F38">
        <v>0</v>
      </c>
      <c r="G38">
        <v>100</v>
      </c>
      <c r="H38">
        <v>0</v>
      </c>
      <c r="I38" t="s">
        <v>203</v>
      </c>
    </row>
    <row r="39" spans="1:9" x14ac:dyDescent="0.3">
      <c r="A39" t="s">
        <v>16</v>
      </c>
      <c r="B39" t="s">
        <v>10</v>
      </c>
      <c r="C39">
        <v>2</v>
      </c>
      <c r="D39">
        <v>5</v>
      </c>
      <c r="E39">
        <v>4</v>
      </c>
      <c r="F39">
        <v>1</v>
      </c>
      <c r="G39">
        <v>80</v>
      </c>
      <c r="H39">
        <v>20</v>
      </c>
      <c r="I39" t="s">
        <v>174</v>
      </c>
    </row>
    <row r="40" spans="1:9" x14ac:dyDescent="0.3">
      <c r="A40" t="s">
        <v>16</v>
      </c>
      <c r="B40" t="s">
        <v>10</v>
      </c>
      <c r="C40">
        <v>3</v>
      </c>
      <c r="D40">
        <v>5</v>
      </c>
      <c r="E40">
        <v>3</v>
      </c>
      <c r="F40">
        <v>2</v>
      </c>
      <c r="G40">
        <v>60</v>
      </c>
      <c r="H40">
        <v>40</v>
      </c>
      <c r="I40" t="s">
        <v>204</v>
      </c>
    </row>
    <row r="41" spans="1:9" x14ac:dyDescent="0.3">
      <c r="A41" t="s">
        <v>16</v>
      </c>
      <c r="B41" t="s">
        <v>10</v>
      </c>
      <c r="C41">
        <v>4</v>
      </c>
      <c r="D41">
        <v>5</v>
      </c>
      <c r="E41">
        <v>2</v>
      </c>
      <c r="F41">
        <v>3</v>
      </c>
      <c r="G41">
        <v>40</v>
      </c>
      <c r="H41">
        <v>60</v>
      </c>
      <c r="I41" t="s">
        <v>60</v>
      </c>
    </row>
    <row r="42" spans="1:9" x14ac:dyDescent="0.3">
      <c r="A42" t="s">
        <v>16</v>
      </c>
      <c r="B42" t="s">
        <v>11</v>
      </c>
      <c r="C42">
        <v>1</v>
      </c>
      <c r="D42">
        <v>5</v>
      </c>
      <c r="E42">
        <v>0</v>
      </c>
      <c r="F42">
        <v>5</v>
      </c>
      <c r="G42">
        <v>0</v>
      </c>
      <c r="H42">
        <v>100</v>
      </c>
      <c r="I42" t="s">
        <v>61</v>
      </c>
    </row>
    <row r="43" spans="1:9" x14ac:dyDescent="0.3">
      <c r="A43" t="s">
        <v>16</v>
      </c>
      <c r="B43" t="s">
        <v>11</v>
      </c>
      <c r="C43">
        <v>2</v>
      </c>
      <c r="D43">
        <v>5</v>
      </c>
      <c r="E43">
        <v>0</v>
      </c>
      <c r="F43">
        <v>5</v>
      </c>
      <c r="G43">
        <v>0</v>
      </c>
      <c r="H43">
        <v>100</v>
      </c>
      <c r="I43" t="s">
        <v>62</v>
      </c>
    </row>
    <row r="44" spans="1:9" x14ac:dyDescent="0.3">
      <c r="A44" t="s">
        <v>16</v>
      </c>
      <c r="B44" t="s">
        <v>11</v>
      </c>
      <c r="C44">
        <v>3</v>
      </c>
      <c r="D44">
        <v>5</v>
      </c>
      <c r="E44">
        <v>1</v>
      </c>
      <c r="F44">
        <v>4</v>
      </c>
      <c r="G44">
        <v>20</v>
      </c>
      <c r="H44">
        <v>80</v>
      </c>
      <c r="I44" t="s">
        <v>206</v>
      </c>
    </row>
    <row r="45" spans="1:9" x14ac:dyDescent="0.3">
      <c r="A45" t="s">
        <v>16</v>
      </c>
      <c r="B45" t="s">
        <v>11</v>
      </c>
      <c r="C45">
        <v>4</v>
      </c>
      <c r="D45">
        <v>5</v>
      </c>
      <c r="E45">
        <v>0</v>
      </c>
      <c r="F45">
        <v>5</v>
      </c>
      <c r="G45">
        <v>0</v>
      </c>
      <c r="H45">
        <v>100</v>
      </c>
      <c r="I45" t="s">
        <v>64</v>
      </c>
    </row>
    <row r="46" spans="1:9" x14ac:dyDescent="0.3">
      <c r="A46" t="s">
        <v>16</v>
      </c>
      <c r="B46" t="s">
        <v>13</v>
      </c>
      <c r="C46">
        <v>1</v>
      </c>
      <c r="D46">
        <v>5</v>
      </c>
      <c r="E46">
        <v>3</v>
      </c>
      <c r="F46">
        <v>2</v>
      </c>
      <c r="G46">
        <v>60</v>
      </c>
      <c r="H46">
        <v>40</v>
      </c>
      <c r="I46" t="s">
        <v>242</v>
      </c>
    </row>
    <row r="47" spans="1:9" x14ac:dyDescent="0.3">
      <c r="A47" t="s">
        <v>16</v>
      </c>
      <c r="B47" t="s">
        <v>13</v>
      </c>
      <c r="C47">
        <v>2</v>
      </c>
      <c r="D47">
        <v>5</v>
      </c>
      <c r="E47">
        <v>4</v>
      </c>
      <c r="F47">
        <v>1</v>
      </c>
      <c r="G47">
        <v>80</v>
      </c>
      <c r="H47">
        <v>20</v>
      </c>
      <c r="I47" t="s">
        <v>243</v>
      </c>
    </row>
    <row r="48" spans="1:9" x14ac:dyDescent="0.3">
      <c r="A48" t="s">
        <v>16</v>
      </c>
      <c r="B48" t="s">
        <v>13</v>
      </c>
      <c r="C48">
        <v>3</v>
      </c>
      <c r="D48">
        <v>5</v>
      </c>
      <c r="E48">
        <v>0</v>
      </c>
      <c r="F48">
        <v>5</v>
      </c>
      <c r="G48">
        <v>0</v>
      </c>
      <c r="H48">
        <v>100</v>
      </c>
      <c r="I48" t="s">
        <v>67</v>
      </c>
    </row>
    <row r="49" spans="1:9" x14ac:dyDescent="0.3">
      <c r="A49" t="s">
        <v>16</v>
      </c>
      <c r="B49" t="s">
        <v>13</v>
      </c>
      <c r="C49">
        <v>4</v>
      </c>
      <c r="D49">
        <v>5</v>
      </c>
      <c r="E49">
        <v>1</v>
      </c>
      <c r="F49">
        <v>4</v>
      </c>
      <c r="G49">
        <v>20</v>
      </c>
      <c r="H49">
        <v>80</v>
      </c>
      <c r="I49" t="s">
        <v>228</v>
      </c>
    </row>
    <row r="50" spans="1:9" x14ac:dyDescent="0.3">
      <c r="A50" t="s">
        <v>16</v>
      </c>
      <c r="B50" t="s">
        <v>14</v>
      </c>
      <c r="C50">
        <v>1</v>
      </c>
      <c r="D50">
        <v>5</v>
      </c>
      <c r="E50">
        <v>0</v>
      </c>
      <c r="F50">
        <v>5</v>
      </c>
      <c r="G50">
        <v>0</v>
      </c>
      <c r="H50">
        <v>100</v>
      </c>
      <c r="I50" t="s">
        <v>69</v>
      </c>
    </row>
    <row r="51" spans="1:9" x14ac:dyDescent="0.3">
      <c r="A51" t="s">
        <v>16</v>
      </c>
      <c r="B51" t="s">
        <v>14</v>
      </c>
      <c r="C51">
        <v>2</v>
      </c>
      <c r="D51">
        <v>5</v>
      </c>
      <c r="E51">
        <v>2</v>
      </c>
      <c r="F51">
        <v>3</v>
      </c>
      <c r="G51">
        <v>40</v>
      </c>
      <c r="H51">
        <v>60</v>
      </c>
      <c r="I51" t="s">
        <v>70</v>
      </c>
    </row>
    <row r="52" spans="1:9" x14ac:dyDescent="0.3">
      <c r="A52" t="s">
        <v>16</v>
      </c>
      <c r="B52" t="s">
        <v>14</v>
      </c>
      <c r="C52">
        <v>3</v>
      </c>
      <c r="D52">
        <v>5</v>
      </c>
      <c r="E52">
        <v>0</v>
      </c>
      <c r="F52">
        <v>5</v>
      </c>
      <c r="G52">
        <v>0</v>
      </c>
      <c r="H52">
        <v>100</v>
      </c>
      <c r="I52" t="s">
        <v>208</v>
      </c>
    </row>
    <row r="53" spans="1:9" x14ac:dyDescent="0.3">
      <c r="A53" t="s">
        <v>16</v>
      </c>
      <c r="B53" t="s">
        <v>14</v>
      </c>
      <c r="C53">
        <v>4</v>
      </c>
      <c r="D53">
        <v>5</v>
      </c>
      <c r="E53">
        <v>1</v>
      </c>
      <c r="F53">
        <v>4</v>
      </c>
      <c r="G53">
        <v>20</v>
      </c>
      <c r="H53">
        <v>80</v>
      </c>
      <c r="I53" t="s">
        <v>209</v>
      </c>
    </row>
    <row r="54" spans="1:9" x14ac:dyDescent="0.3">
      <c r="A54" t="s">
        <v>17</v>
      </c>
      <c r="B54" t="s">
        <v>10</v>
      </c>
      <c r="C54">
        <v>1</v>
      </c>
      <c r="D54">
        <v>5</v>
      </c>
      <c r="E54">
        <v>1</v>
      </c>
      <c r="F54">
        <v>4</v>
      </c>
      <c r="G54">
        <v>20</v>
      </c>
      <c r="H54">
        <v>80</v>
      </c>
      <c r="I54" t="s">
        <v>244</v>
      </c>
    </row>
    <row r="55" spans="1:9" x14ac:dyDescent="0.3">
      <c r="A55" t="s">
        <v>17</v>
      </c>
      <c r="B55" t="s">
        <v>10</v>
      </c>
      <c r="C55">
        <v>2</v>
      </c>
      <c r="D55">
        <v>5</v>
      </c>
      <c r="E55">
        <v>1</v>
      </c>
      <c r="F55">
        <v>4</v>
      </c>
      <c r="G55">
        <v>20</v>
      </c>
      <c r="H55">
        <v>80</v>
      </c>
      <c r="I55" t="s">
        <v>231</v>
      </c>
    </row>
    <row r="56" spans="1:9" x14ac:dyDescent="0.3">
      <c r="A56" t="s">
        <v>17</v>
      </c>
      <c r="B56" t="s">
        <v>10</v>
      </c>
      <c r="C56">
        <v>3</v>
      </c>
      <c r="D56">
        <v>5</v>
      </c>
      <c r="E56">
        <v>0</v>
      </c>
      <c r="F56">
        <v>5</v>
      </c>
      <c r="G56">
        <v>0</v>
      </c>
      <c r="H56">
        <v>100</v>
      </c>
      <c r="I56" t="s">
        <v>75</v>
      </c>
    </row>
    <row r="57" spans="1:9" x14ac:dyDescent="0.3">
      <c r="A57" t="s">
        <v>17</v>
      </c>
      <c r="B57" t="s">
        <v>10</v>
      </c>
      <c r="C57">
        <v>4</v>
      </c>
      <c r="D57">
        <v>5</v>
      </c>
      <c r="E57">
        <v>2</v>
      </c>
      <c r="F57">
        <v>3</v>
      </c>
      <c r="G57">
        <v>40</v>
      </c>
      <c r="H57">
        <v>60</v>
      </c>
      <c r="I57" t="s">
        <v>245</v>
      </c>
    </row>
    <row r="58" spans="1:9" x14ac:dyDescent="0.3">
      <c r="A58" t="s">
        <v>17</v>
      </c>
      <c r="B58" t="s">
        <v>11</v>
      </c>
      <c r="C58">
        <v>1</v>
      </c>
      <c r="D58">
        <v>5</v>
      </c>
      <c r="E58">
        <v>2</v>
      </c>
      <c r="F58">
        <v>3</v>
      </c>
      <c r="G58">
        <v>40</v>
      </c>
      <c r="H58">
        <v>60</v>
      </c>
      <c r="I58" t="s">
        <v>211</v>
      </c>
    </row>
    <row r="59" spans="1:9" x14ac:dyDescent="0.3">
      <c r="A59" t="s">
        <v>17</v>
      </c>
      <c r="B59" t="s">
        <v>11</v>
      </c>
      <c r="C59">
        <v>2</v>
      </c>
      <c r="D59">
        <v>5</v>
      </c>
      <c r="E59">
        <v>0</v>
      </c>
      <c r="F59">
        <v>5</v>
      </c>
      <c r="G59">
        <v>0</v>
      </c>
      <c r="H59">
        <v>100</v>
      </c>
      <c r="I59" t="s">
        <v>78</v>
      </c>
    </row>
    <row r="60" spans="1:9" x14ac:dyDescent="0.3">
      <c r="A60" t="s">
        <v>17</v>
      </c>
      <c r="B60" t="s">
        <v>11</v>
      </c>
      <c r="C60">
        <v>3</v>
      </c>
      <c r="D60">
        <v>5</v>
      </c>
      <c r="E60">
        <v>0</v>
      </c>
      <c r="F60">
        <v>5</v>
      </c>
      <c r="G60">
        <v>0</v>
      </c>
      <c r="H60">
        <v>100</v>
      </c>
      <c r="I60" t="s">
        <v>79</v>
      </c>
    </row>
    <row r="61" spans="1:9" x14ac:dyDescent="0.3">
      <c r="A61" t="s">
        <v>17</v>
      </c>
      <c r="B61" t="s">
        <v>11</v>
      </c>
      <c r="C61">
        <v>4</v>
      </c>
      <c r="D61">
        <v>5</v>
      </c>
      <c r="E61">
        <v>0</v>
      </c>
      <c r="F61">
        <v>5</v>
      </c>
      <c r="G61">
        <v>0</v>
      </c>
      <c r="H61">
        <v>100</v>
      </c>
      <c r="I61" t="s">
        <v>80</v>
      </c>
    </row>
    <row r="62" spans="1:9" x14ac:dyDescent="0.3">
      <c r="A62" t="s">
        <v>17</v>
      </c>
      <c r="B62" t="s">
        <v>13</v>
      </c>
      <c r="C62">
        <v>1</v>
      </c>
      <c r="D62">
        <v>5</v>
      </c>
      <c r="E62">
        <v>1</v>
      </c>
      <c r="F62">
        <v>4</v>
      </c>
      <c r="G62">
        <v>20</v>
      </c>
      <c r="H62">
        <v>80</v>
      </c>
      <c r="I62" t="s">
        <v>214</v>
      </c>
    </row>
    <row r="63" spans="1:9" x14ac:dyDescent="0.3">
      <c r="A63" t="s">
        <v>17</v>
      </c>
      <c r="B63" t="s">
        <v>13</v>
      </c>
      <c r="C63">
        <v>2</v>
      </c>
      <c r="D63">
        <v>5</v>
      </c>
      <c r="E63">
        <v>1</v>
      </c>
      <c r="F63">
        <v>4</v>
      </c>
      <c r="G63">
        <v>20</v>
      </c>
      <c r="H63">
        <v>80</v>
      </c>
      <c r="I63" t="s">
        <v>246</v>
      </c>
    </row>
    <row r="64" spans="1:9" x14ac:dyDescent="0.3">
      <c r="A64" t="s">
        <v>17</v>
      </c>
      <c r="B64" t="s">
        <v>13</v>
      </c>
      <c r="C64">
        <v>3</v>
      </c>
      <c r="D64">
        <v>5</v>
      </c>
      <c r="E64">
        <v>0</v>
      </c>
      <c r="F64">
        <v>5</v>
      </c>
      <c r="G64">
        <v>0</v>
      </c>
      <c r="H64">
        <v>100</v>
      </c>
      <c r="I64" t="s">
        <v>83</v>
      </c>
    </row>
    <row r="65" spans="1:9" x14ac:dyDescent="0.3">
      <c r="A65" t="s">
        <v>17</v>
      </c>
      <c r="B65" t="s">
        <v>13</v>
      </c>
      <c r="C65">
        <v>4</v>
      </c>
      <c r="D65">
        <v>5</v>
      </c>
      <c r="E65">
        <v>1</v>
      </c>
      <c r="F65">
        <v>4</v>
      </c>
      <c r="G65">
        <v>20</v>
      </c>
      <c r="H65">
        <v>80</v>
      </c>
      <c r="I65" t="s">
        <v>181</v>
      </c>
    </row>
    <row r="66" spans="1:9" x14ac:dyDescent="0.3">
      <c r="A66" t="s">
        <v>17</v>
      </c>
      <c r="B66" t="s">
        <v>14</v>
      </c>
      <c r="C66">
        <v>1</v>
      </c>
      <c r="D66">
        <v>5</v>
      </c>
      <c r="E66">
        <v>5</v>
      </c>
      <c r="F66">
        <v>0</v>
      </c>
      <c r="G66">
        <v>100</v>
      </c>
      <c r="H66">
        <v>0</v>
      </c>
      <c r="I66" t="s">
        <v>247</v>
      </c>
    </row>
    <row r="67" spans="1:9" x14ac:dyDescent="0.3">
      <c r="A67" t="s">
        <v>17</v>
      </c>
      <c r="B67" t="s">
        <v>14</v>
      </c>
      <c r="C67">
        <v>2</v>
      </c>
      <c r="D67">
        <v>5</v>
      </c>
      <c r="E67">
        <v>3</v>
      </c>
      <c r="F67">
        <v>2</v>
      </c>
      <c r="G67">
        <v>60</v>
      </c>
      <c r="H67">
        <v>40</v>
      </c>
      <c r="I67" t="s">
        <v>248</v>
      </c>
    </row>
    <row r="68" spans="1:9" x14ac:dyDescent="0.3">
      <c r="A68" t="s">
        <v>17</v>
      </c>
      <c r="B68" t="s">
        <v>14</v>
      </c>
      <c r="C68">
        <v>3</v>
      </c>
      <c r="D68">
        <v>5</v>
      </c>
      <c r="E68">
        <v>0</v>
      </c>
      <c r="F68">
        <v>5</v>
      </c>
      <c r="G68">
        <v>0</v>
      </c>
      <c r="H68">
        <v>100</v>
      </c>
      <c r="I68" t="s">
        <v>87</v>
      </c>
    </row>
    <row r="69" spans="1:9" x14ac:dyDescent="0.3">
      <c r="A69" t="s">
        <v>17</v>
      </c>
      <c r="B69" t="s">
        <v>14</v>
      </c>
      <c r="C69">
        <v>4</v>
      </c>
      <c r="D69">
        <v>5</v>
      </c>
      <c r="E69">
        <v>0</v>
      </c>
      <c r="F69">
        <v>5</v>
      </c>
      <c r="G69">
        <v>0</v>
      </c>
      <c r="H69">
        <v>100</v>
      </c>
      <c r="I69" t="s">
        <v>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B46B-450F-4406-AF48-6E1184645E64}">
  <dimension ref="A1:M53"/>
  <sheetViews>
    <sheetView topLeftCell="A28" workbookViewId="0">
      <selection activeCell="J12" sqref="J12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</row>
    <row r="2" spans="1:13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1</v>
      </c>
      <c r="J2">
        <v>4</v>
      </c>
      <c r="K2">
        <v>20</v>
      </c>
      <c r="L2">
        <v>80</v>
      </c>
      <c r="M2">
        <v>20</v>
      </c>
    </row>
    <row r="3" spans="1:13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1</v>
      </c>
      <c r="J3">
        <v>4</v>
      </c>
      <c r="K3">
        <v>20</v>
      </c>
      <c r="L3">
        <v>80</v>
      </c>
      <c r="M3">
        <v>20</v>
      </c>
    </row>
    <row r="4" spans="1:13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0</v>
      </c>
      <c r="J4">
        <v>5</v>
      </c>
      <c r="K4">
        <v>0</v>
      </c>
      <c r="L4">
        <v>100</v>
      </c>
      <c r="M4">
        <v>0</v>
      </c>
    </row>
    <row r="5" spans="1:13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5</v>
      </c>
      <c r="J5">
        <v>0</v>
      </c>
      <c r="K5">
        <v>100</v>
      </c>
      <c r="L5">
        <v>0</v>
      </c>
      <c r="M5">
        <v>100</v>
      </c>
    </row>
    <row r="6" spans="1:13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2</v>
      </c>
      <c r="J6">
        <v>3</v>
      </c>
      <c r="K6">
        <v>40</v>
      </c>
      <c r="L6">
        <v>60</v>
      </c>
      <c r="M6">
        <v>40</v>
      </c>
    </row>
    <row r="7" spans="1:13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1</v>
      </c>
      <c r="J7">
        <v>4</v>
      </c>
      <c r="K7">
        <v>20</v>
      </c>
      <c r="L7">
        <v>80</v>
      </c>
      <c r="M7">
        <v>20</v>
      </c>
    </row>
    <row r="8" spans="1:13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1</v>
      </c>
      <c r="J8">
        <v>4</v>
      </c>
      <c r="K8">
        <v>20</v>
      </c>
      <c r="L8">
        <v>80</v>
      </c>
      <c r="M8">
        <v>20</v>
      </c>
    </row>
    <row r="9" spans="1:13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1</v>
      </c>
      <c r="J9">
        <v>4</v>
      </c>
      <c r="K9">
        <v>20</v>
      </c>
      <c r="L9">
        <v>80</v>
      </c>
      <c r="M9">
        <v>20</v>
      </c>
    </row>
    <row r="10" spans="1:13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5</v>
      </c>
      <c r="J10">
        <v>0</v>
      </c>
      <c r="K10">
        <v>100</v>
      </c>
      <c r="L10">
        <v>0</v>
      </c>
      <c r="M10">
        <v>100</v>
      </c>
    </row>
    <row r="11" spans="1:13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3</v>
      </c>
      <c r="J11">
        <v>2</v>
      </c>
      <c r="K11">
        <v>60</v>
      </c>
      <c r="L11">
        <v>40</v>
      </c>
      <c r="M11">
        <v>60</v>
      </c>
    </row>
    <row r="12" spans="1:13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0</v>
      </c>
      <c r="J12">
        <v>5</v>
      </c>
      <c r="K12">
        <v>0</v>
      </c>
      <c r="L12">
        <v>100</v>
      </c>
      <c r="M12">
        <v>0</v>
      </c>
    </row>
    <row r="13" spans="1:13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5</v>
      </c>
      <c r="J13">
        <v>0</v>
      </c>
      <c r="K13">
        <v>100</v>
      </c>
      <c r="L13">
        <v>0</v>
      </c>
      <c r="M13">
        <v>100</v>
      </c>
    </row>
    <row r="14" spans="1:13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5</v>
      </c>
      <c r="J14">
        <v>0</v>
      </c>
      <c r="K14">
        <v>100</v>
      </c>
      <c r="L14">
        <v>0</v>
      </c>
      <c r="M14">
        <v>100</v>
      </c>
    </row>
    <row r="15" spans="1:13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0</v>
      </c>
      <c r="J15">
        <v>5</v>
      </c>
      <c r="K15">
        <v>0</v>
      </c>
      <c r="L15">
        <v>100</v>
      </c>
      <c r="M15">
        <v>0</v>
      </c>
    </row>
    <row r="16" spans="1:13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</row>
    <row r="17" spans="1:13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3</v>
      </c>
      <c r="J17">
        <v>2</v>
      </c>
      <c r="K17">
        <v>60</v>
      </c>
      <c r="L17">
        <v>40</v>
      </c>
      <c r="M17">
        <v>60</v>
      </c>
    </row>
    <row r="18" spans="1:13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0</v>
      </c>
      <c r="J18">
        <v>5</v>
      </c>
      <c r="K18">
        <v>0</v>
      </c>
      <c r="L18">
        <v>100</v>
      </c>
      <c r="M18">
        <v>0</v>
      </c>
    </row>
    <row r="19" spans="1:13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2</v>
      </c>
      <c r="J19">
        <v>3</v>
      </c>
      <c r="K19">
        <v>40</v>
      </c>
      <c r="L19">
        <v>60</v>
      </c>
      <c r="M19">
        <v>40</v>
      </c>
    </row>
    <row r="20" spans="1:13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5</v>
      </c>
      <c r="J20">
        <v>0</v>
      </c>
      <c r="K20">
        <v>100</v>
      </c>
      <c r="L20">
        <v>0</v>
      </c>
      <c r="M20">
        <v>100</v>
      </c>
    </row>
    <row r="21" spans="1:13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5</v>
      </c>
      <c r="J21">
        <v>0</v>
      </c>
      <c r="K21">
        <v>100</v>
      </c>
      <c r="L21">
        <v>0</v>
      </c>
      <c r="M21">
        <v>100</v>
      </c>
    </row>
    <row r="22" spans="1:13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3</v>
      </c>
      <c r="J22">
        <v>2</v>
      </c>
      <c r="K22">
        <v>60</v>
      </c>
      <c r="L22">
        <v>40</v>
      </c>
      <c r="M22">
        <v>60</v>
      </c>
    </row>
    <row r="23" spans="1:13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2</v>
      </c>
      <c r="J23">
        <v>3</v>
      </c>
      <c r="K23">
        <v>40</v>
      </c>
      <c r="L23">
        <v>60</v>
      </c>
      <c r="M23">
        <v>40</v>
      </c>
    </row>
    <row r="24" spans="1:13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3</v>
      </c>
      <c r="J24">
        <v>2</v>
      </c>
      <c r="K24">
        <v>60</v>
      </c>
      <c r="L24">
        <v>40</v>
      </c>
      <c r="M24">
        <v>60</v>
      </c>
    </row>
    <row r="25" spans="1:13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3</v>
      </c>
      <c r="J25">
        <v>2</v>
      </c>
      <c r="K25">
        <v>60</v>
      </c>
      <c r="L25">
        <v>40</v>
      </c>
      <c r="M25">
        <v>60</v>
      </c>
    </row>
    <row r="26" spans="1:13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2</v>
      </c>
      <c r="J26">
        <v>3</v>
      </c>
      <c r="K26">
        <v>40</v>
      </c>
      <c r="L26">
        <v>60</v>
      </c>
      <c r="M26">
        <v>40</v>
      </c>
    </row>
    <row r="27" spans="1:13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3</v>
      </c>
      <c r="J27">
        <v>2</v>
      </c>
      <c r="K27">
        <v>60</v>
      </c>
      <c r="L27">
        <v>40</v>
      </c>
      <c r="M27">
        <v>60</v>
      </c>
    </row>
    <row r="28" spans="1:13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5</v>
      </c>
      <c r="J28">
        <v>0</v>
      </c>
      <c r="K28">
        <v>100</v>
      </c>
      <c r="L28">
        <v>0</v>
      </c>
      <c r="M28">
        <v>100</v>
      </c>
    </row>
    <row r="29" spans="1:13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</row>
    <row r="30" spans="1:13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2</v>
      </c>
      <c r="J30">
        <v>3</v>
      </c>
      <c r="K30">
        <v>40</v>
      </c>
      <c r="L30">
        <v>60</v>
      </c>
      <c r="M30">
        <v>40</v>
      </c>
    </row>
    <row r="31" spans="1:13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4</v>
      </c>
      <c r="J31">
        <v>1</v>
      </c>
      <c r="K31">
        <v>80</v>
      </c>
      <c r="L31">
        <v>20</v>
      </c>
      <c r="M31">
        <v>80</v>
      </c>
    </row>
    <row r="32" spans="1:13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4</v>
      </c>
      <c r="J32">
        <v>1</v>
      </c>
      <c r="K32">
        <v>80</v>
      </c>
      <c r="L32">
        <v>20</v>
      </c>
      <c r="M32">
        <v>80</v>
      </c>
    </row>
    <row r="33" spans="1:13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</row>
    <row r="34" spans="1:13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3</v>
      </c>
      <c r="J34">
        <v>2</v>
      </c>
      <c r="K34">
        <v>60</v>
      </c>
      <c r="L34">
        <v>40</v>
      </c>
      <c r="M34">
        <v>60</v>
      </c>
    </row>
    <row r="35" spans="1:13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5</v>
      </c>
      <c r="J35">
        <v>0</v>
      </c>
      <c r="K35">
        <v>100</v>
      </c>
      <c r="L35">
        <v>0</v>
      </c>
      <c r="M35">
        <v>100</v>
      </c>
    </row>
    <row r="36" spans="1:13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3</v>
      </c>
      <c r="J36">
        <v>2</v>
      </c>
      <c r="K36">
        <v>60</v>
      </c>
      <c r="L36">
        <v>40</v>
      </c>
      <c r="M36">
        <v>60</v>
      </c>
    </row>
    <row r="37" spans="1:13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5</v>
      </c>
      <c r="J37">
        <v>0</v>
      </c>
      <c r="K37">
        <v>100</v>
      </c>
      <c r="L37">
        <v>0</v>
      </c>
      <c r="M37">
        <v>100</v>
      </c>
    </row>
    <row r="38" spans="1:13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1</v>
      </c>
      <c r="J38">
        <v>4</v>
      </c>
      <c r="K38">
        <v>20</v>
      </c>
      <c r="L38">
        <v>80</v>
      </c>
      <c r="M38">
        <v>20</v>
      </c>
    </row>
    <row r="39" spans="1:13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2</v>
      </c>
      <c r="J39">
        <v>3</v>
      </c>
      <c r="K39">
        <v>40</v>
      </c>
      <c r="L39">
        <v>60</v>
      </c>
      <c r="M39">
        <v>40</v>
      </c>
    </row>
    <row r="40" spans="1:13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4</v>
      </c>
      <c r="J40">
        <v>1</v>
      </c>
      <c r="K40">
        <v>80</v>
      </c>
      <c r="L40">
        <v>20</v>
      </c>
      <c r="M40">
        <v>80</v>
      </c>
    </row>
    <row r="41" spans="1:13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0</v>
      </c>
      <c r="J41">
        <v>5</v>
      </c>
      <c r="K41">
        <v>0</v>
      </c>
      <c r="L41">
        <v>100</v>
      </c>
      <c r="M41">
        <v>0</v>
      </c>
    </row>
    <row r="42" spans="1:13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1</v>
      </c>
      <c r="J42">
        <v>4</v>
      </c>
      <c r="K42">
        <v>20</v>
      </c>
      <c r="L42">
        <v>80</v>
      </c>
      <c r="M42">
        <v>20</v>
      </c>
    </row>
    <row r="43" spans="1:13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3</v>
      </c>
      <c r="J43">
        <v>2</v>
      </c>
      <c r="K43">
        <v>60</v>
      </c>
      <c r="L43">
        <v>40</v>
      </c>
      <c r="M43">
        <v>60</v>
      </c>
    </row>
    <row r="44" spans="1:13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5</v>
      </c>
      <c r="J44">
        <v>0</v>
      </c>
      <c r="K44">
        <v>100</v>
      </c>
      <c r="L44">
        <v>0</v>
      </c>
      <c r="M44">
        <v>100</v>
      </c>
    </row>
    <row r="45" spans="1:13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4</v>
      </c>
      <c r="J45">
        <v>1</v>
      </c>
      <c r="K45">
        <v>80</v>
      </c>
      <c r="L45">
        <v>20</v>
      </c>
      <c r="M45">
        <v>80</v>
      </c>
    </row>
    <row r="46" spans="1:13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5</v>
      </c>
      <c r="J46">
        <v>0</v>
      </c>
      <c r="K46">
        <v>100</v>
      </c>
      <c r="L46">
        <v>0</v>
      </c>
      <c r="M46">
        <v>100</v>
      </c>
    </row>
    <row r="47" spans="1:13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5</v>
      </c>
      <c r="J47">
        <v>0</v>
      </c>
      <c r="K47">
        <v>100</v>
      </c>
      <c r="L47">
        <v>0</v>
      </c>
      <c r="M47">
        <v>100</v>
      </c>
    </row>
    <row r="48" spans="1:13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0</v>
      </c>
      <c r="J48">
        <v>5</v>
      </c>
      <c r="K48">
        <v>0</v>
      </c>
      <c r="L48">
        <v>100</v>
      </c>
      <c r="M48">
        <v>0</v>
      </c>
    </row>
    <row r="49" spans="1:13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</row>
    <row r="50" spans="1:13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0</v>
      </c>
      <c r="J50">
        <v>5</v>
      </c>
      <c r="K50">
        <v>0</v>
      </c>
      <c r="L50">
        <v>100</v>
      </c>
      <c r="M50">
        <v>0</v>
      </c>
    </row>
    <row r="51" spans="1:13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4</v>
      </c>
      <c r="J51">
        <v>1</v>
      </c>
      <c r="K51">
        <v>80</v>
      </c>
      <c r="L51">
        <v>20</v>
      </c>
      <c r="M51">
        <v>80</v>
      </c>
    </row>
    <row r="52" spans="1:13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5</v>
      </c>
      <c r="J52">
        <v>0</v>
      </c>
      <c r="K52">
        <v>100</v>
      </c>
      <c r="L52">
        <v>0</v>
      </c>
      <c r="M52">
        <v>100</v>
      </c>
    </row>
    <row r="53" spans="1:13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5</v>
      </c>
      <c r="J53">
        <v>0</v>
      </c>
      <c r="K53">
        <v>100</v>
      </c>
      <c r="L53">
        <v>0</v>
      </c>
      <c r="M53">
        <v>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19CA-8B32-42BD-B61B-97501BA9362A}">
  <dimension ref="A1:I69"/>
  <sheetViews>
    <sheetView topLeftCell="A44" workbookViewId="0">
      <selection sqref="A1:I69"/>
    </sheetView>
  </sheetViews>
  <sheetFormatPr defaultRowHeight="14.4" x14ac:dyDescent="0.3"/>
  <cols>
    <col min="2" max="2" width="10" customWidth="1"/>
    <col min="3" max="3" width="11.88671875" customWidth="1"/>
    <col min="4" max="4" width="11.109375" customWidth="1"/>
    <col min="5" max="5" width="14.33203125" customWidth="1"/>
    <col min="6" max="6" width="15.5546875" customWidth="1"/>
    <col min="7" max="7" width="21.33203125" customWidth="1"/>
    <col min="8" max="8" width="22.5546875" customWidth="1"/>
    <col min="9" max="9" width="1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5</v>
      </c>
      <c r="E2">
        <v>2</v>
      </c>
      <c r="F2">
        <v>3</v>
      </c>
      <c r="G2">
        <v>40</v>
      </c>
      <c r="H2">
        <v>60</v>
      </c>
      <c r="I2" t="s">
        <v>218</v>
      </c>
    </row>
    <row r="3" spans="1:9" x14ac:dyDescent="0.3">
      <c r="A3" t="s">
        <v>9</v>
      </c>
      <c r="B3" t="s">
        <v>10</v>
      </c>
      <c r="C3">
        <v>2</v>
      </c>
      <c r="D3">
        <v>5</v>
      </c>
      <c r="E3">
        <v>0</v>
      </c>
      <c r="F3">
        <v>5</v>
      </c>
      <c r="G3">
        <v>0</v>
      </c>
      <c r="H3">
        <v>100</v>
      </c>
      <c r="I3" t="s">
        <v>22</v>
      </c>
    </row>
    <row r="4" spans="1:9" x14ac:dyDescent="0.3">
      <c r="A4" t="s">
        <v>9</v>
      </c>
      <c r="B4" t="s">
        <v>10</v>
      </c>
      <c r="C4">
        <v>3</v>
      </c>
      <c r="D4">
        <v>5</v>
      </c>
      <c r="E4">
        <v>0</v>
      </c>
      <c r="F4">
        <v>5</v>
      </c>
      <c r="G4">
        <v>0</v>
      </c>
      <c r="H4">
        <v>100</v>
      </c>
      <c r="I4" t="s">
        <v>23</v>
      </c>
    </row>
    <row r="5" spans="1:9" x14ac:dyDescent="0.3">
      <c r="A5" t="s">
        <v>9</v>
      </c>
      <c r="B5" t="s">
        <v>10</v>
      </c>
      <c r="C5">
        <v>4</v>
      </c>
      <c r="D5">
        <v>5</v>
      </c>
      <c r="E5">
        <v>0</v>
      </c>
      <c r="F5">
        <v>5</v>
      </c>
      <c r="G5">
        <v>0</v>
      </c>
      <c r="H5">
        <v>100</v>
      </c>
      <c r="I5" t="s">
        <v>24</v>
      </c>
    </row>
    <row r="6" spans="1:9" x14ac:dyDescent="0.3">
      <c r="A6" t="s">
        <v>9</v>
      </c>
      <c r="B6" t="s">
        <v>11</v>
      </c>
      <c r="C6">
        <v>1</v>
      </c>
      <c r="D6">
        <v>5</v>
      </c>
      <c r="E6">
        <v>5</v>
      </c>
      <c r="F6">
        <v>0</v>
      </c>
      <c r="G6">
        <v>100</v>
      </c>
      <c r="H6">
        <v>0</v>
      </c>
      <c r="I6" t="s">
        <v>186</v>
      </c>
    </row>
    <row r="7" spans="1:9" x14ac:dyDescent="0.3">
      <c r="A7" t="s">
        <v>9</v>
      </c>
      <c r="B7" t="s">
        <v>11</v>
      </c>
      <c r="C7">
        <v>2</v>
      </c>
      <c r="D7">
        <v>5</v>
      </c>
      <c r="E7">
        <v>5</v>
      </c>
      <c r="F7">
        <v>0</v>
      </c>
      <c r="G7">
        <v>100</v>
      </c>
      <c r="H7">
        <v>0</v>
      </c>
      <c r="I7" t="s">
        <v>187</v>
      </c>
    </row>
    <row r="8" spans="1:9" x14ac:dyDescent="0.3">
      <c r="A8" t="s">
        <v>9</v>
      </c>
      <c r="B8" t="s">
        <v>11</v>
      </c>
      <c r="C8">
        <v>3</v>
      </c>
      <c r="D8">
        <v>5</v>
      </c>
      <c r="E8">
        <v>0</v>
      </c>
      <c r="F8">
        <v>5</v>
      </c>
      <c r="G8">
        <v>0</v>
      </c>
      <c r="H8">
        <v>100</v>
      </c>
      <c r="I8" t="s">
        <v>27</v>
      </c>
    </row>
    <row r="9" spans="1:9" x14ac:dyDescent="0.3">
      <c r="A9" t="s">
        <v>9</v>
      </c>
      <c r="B9" t="s">
        <v>11</v>
      </c>
      <c r="C9">
        <v>4</v>
      </c>
      <c r="D9">
        <v>5</v>
      </c>
      <c r="E9">
        <v>1</v>
      </c>
      <c r="F9">
        <v>4</v>
      </c>
      <c r="G9">
        <v>20</v>
      </c>
      <c r="H9">
        <v>80</v>
      </c>
      <c r="I9" t="s">
        <v>188</v>
      </c>
    </row>
    <row r="10" spans="1:9" x14ac:dyDescent="0.3">
      <c r="A10" t="s">
        <v>9</v>
      </c>
      <c r="B10" t="s">
        <v>12</v>
      </c>
      <c r="C10">
        <v>1</v>
      </c>
      <c r="D10">
        <v>5</v>
      </c>
      <c r="E10">
        <v>5</v>
      </c>
      <c r="F10">
        <v>0</v>
      </c>
      <c r="G10">
        <v>100</v>
      </c>
      <c r="H10">
        <v>0</v>
      </c>
      <c r="I10" t="s">
        <v>189</v>
      </c>
    </row>
    <row r="11" spans="1:9" x14ac:dyDescent="0.3">
      <c r="A11" t="s">
        <v>9</v>
      </c>
      <c r="B11" t="s">
        <v>12</v>
      </c>
      <c r="C11">
        <v>2</v>
      </c>
      <c r="D11">
        <v>5</v>
      </c>
      <c r="E11">
        <v>3</v>
      </c>
      <c r="F11">
        <v>2</v>
      </c>
      <c r="G11">
        <v>60</v>
      </c>
      <c r="H11">
        <v>40</v>
      </c>
      <c r="I11" t="s">
        <v>219</v>
      </c>
    </row>
    <row r="12" spans="1:9" x14ac:dyDescent="0.3">
      <c r="A12" t="s">
        <v>9</v>
      </c>
      <c r="B12" t="s">
        <v>12</v>
      </c>
      <c r="C12">
        <v>3</v>
      </c>
      <c r="D12">
        <v>5</v>
      </c>
      <c r="E12">
        <v>1</v>
      </c>
      <c r="F12">
        <v>4</v>
      </c>
      <c r="G12">
        <v>20</v>
      </c>
      <c r="H12">
        <v>80</v>
      </c>
      <c r="I12" t="s">
        <v>167</v>
      </c>
    </row>
    <row r="13" spans="1:9" x14ac:dyDescent="0.3">
      <c r="A13" t="s">
        <v>9</v>
      </c>
      <c r="B13" t="s">
        <v>12</v>
      </c>
      <c r="C13">
        <v>4</v>
      </c>
      <c r="D13">
        <v>5</v>
      </c>
      <c r="E13">
        <v>4</v>
      </c>
      <c r="F13">
        <v>1</v>
      </c>
      <c r="G13">
        <v>80</v>
      </c>
      <c r="H13">
        <v>20</v>
      </c>
      <c r="I13" t="s">
        <v>191</v>
      </c>
    </row>
    <row r="14" spans="1:9" x14ac:dyDescent="0.3">
      <c r="A14" t="s">
        <v>9</v>
      </c>
      <c r="B14" t="s">
        <v>13</v>
      </c>
      <c r="C14">
        <v>1</v>
      </c>
      <c r="D14">
        <v>5</v>
      </c>
      <c r="E14">
        <v>0</v>
      </c>
      <c r="F14">
        <v>5</v>
      </c>
      <c r="G14">
        <v>0</v>
      </c>
      <c r="H14">
        <v>100</v>
      </c>
      <c r="I14" t="s">
        <v>33</v>
      </c>
    </row>
    <row r="15" spans="1:9" x14ac:dyDescent="0.3">
      <c r="A15" t="s">
        <v>9</v>
      </c>
      <c r="B15" t="s">
        <v>13</v>
      </c>
      <c r="C15">
        <v>2</v>
      </c>
      <c r="D15">
        <v>5</v>
      </c>
      <c r="E15">
        <v>0</v>
      </c>
      <c r="F15">
        <v>5</v>
      </c>
      <c r="G15">
        <v>0</v>
      </c>
      <c r="H15">
        <v>100</v>
      </c>
      <c r="I15" t="s">
        <v>34</v>
      </c>
    </row>
    <row r="16" spans="1:9" x14ac:dyDescent="0.3">
      <c r="A16" t="s">
        <v>9</v>
      </c>
      <c r="B16" t="s">
        <v>13</v>
      </c>
      <c r="C16">
        <v>3</v>
      </c>
      <c r="D16">
        <v>5</v>
      </c>
      <c r="E16">
        <v>0</v>
      </c>
      <c r="F16">
        <v>5</v>
      </c>
      <c r="G16">
        <v>0</v>
      </c>
      <c r="H16">
        <v>100</v>
      </c>
      <c r="I16" t="s">
        <v>35</v>
      </c>
    </row>
    <row r="17" spans="1:9" x14ac:dyDescent="0.3">
      <c r="A17" t="s">
        <v>9</v>
      </c>
      <c r="B17" t="s">
        <v>13</v>
      </c>
      <c r="C17">
        <v>4</v>
      </c>
      <c r="D17">
        <v>5</v>
      </c>
      <c r="E17">
        <v>2</v>
      </c>
      <c r="F17">
        <v>3</v>
      </c>
      <c r="G17">
        <v>40</v>
      </c>
      <c r="H17">
        <v>60</v>
      </c>
      <c r="I17" t="s">
        <v>192</v>
      </c>
    </row>
    <row r="18" spans="1:9" x14ac:dyDescent="0.3">
      <c r="A18" t="s">
        <v>9</v>
      </c>
      <c r="B18" t="s">
        <v>14</v>
      </c>
      <c r="C18">
        <v>1</v>
      </c>
      <c r="D18">
        <v>5</v>
      </c>
      <c r="E18">
        <v>0</v>
      </c>
      <c r="F18">
        <v>5</v>
      </c>
      <c r="G18">
        <v>0</v>
      </c>
      <c r="H18">
        <v>100</v>
      </c>
      <c r="I18" t="s">
        <v>37</v>
      </c>
    </row>
    <row r="19" spans="1:9" x14ac:dyDescent="0.3">
      <c r="A19" t="s">
        <v>9</v>
      </c>
      <c r="B19" t="s">
        <v>14</v>
      </c>
      <c r="C19">
        <v>2</v>
      </c>
      <c r="D19">
        <v>5</v>
      </c>
      <c r="E19">
        <v>0</v>
      </c>
      <c r="F19">
        <v>5</v>
      </c>
      <c r="G19">
        <v>0</v>
      </c>
      <c r="H19">
        <v>100</v>
      </c>
      <c r="I19" t="s">
        <v>38</v>
      </c>
    </row>
    <row r="20" spans="1:9" x14ac:dyDescent="0.3">
      <c r="A20" t="s">
        <v>9</v>
      </c>
      <c r="B20" t="s">
        <v>14</v>
      </c>
      <c r="C20">
        <v>3</v>
      </c>
      <c r="D20">
        <v>5</v>
      </c>
      <c r="E20">
        <v>0</v>
      </c>
      <c r="F20">
        <v>5</v>
      </c>
      <c r="G20">
        <v>0</v>
      </c>
      <c r="H20">
        <v>100</v>
      </c>
      <c r="I20" t="s">
        <v>39</v>
      </c>
    </row>
    <row r="21" spans="1:9" x14ac:dyDescent="0.3">
      <c r="A21" t="s">
        <v>9</v>
      </c>
      <c r="B21" t="s">
        <v>14</v>
      </c>
      <c r="C21">
        <v>4</v>
      </c>
      <c r="D21">
        <v>5</v>
      </c>
      <c r="E21">
        <v>0</v>
      </c>
      <c r="F21">
        <v>5</v>
      </c>
      <c r="G21">
        <v>0</v>
      </c>
      <c r="H21">
        <v>100</v>
      </c>
      <c r="I21" t="s">
        <v>40</v>
      </c>
    </row>
    <row r="22" spans="1:9" x14ac:dyDescent="0.3">
      <c r="A22" t="s">
        <v>15</v>
      </c>
      <c r="B22" t="s">
        <v>10</v>
      </c>
      <c r="C22">
        <v>1</v>
      </c>
      <c r="D22">
        <v>5</v>
      </c>
      <c r="E22">
        <v>5</v>
      </c>
      <c r="F22">
        <v>0</v>
      </c>
      <c r="G22">
        <v>100</v>
      </c>
      <c r="H22">
        <v>0</v>
      </c>
      <c r="I22" t="s">
        <v>193</v>
      </c>
    </row>
    <row r="23" spans="1:9" x14ac:dyDescent="0.3">
      <c r="A23" t="s">
        <v>15</v>
      </c>
      <c r="B23" t="s">
        <v>10</v>
      </c>
      <c r="C23">
        <v>2</v>
      </c>
      <c r="D23">
        <v>5</v>
      </c>
      <c r="E23">
        <v>2</v>
      </c>
      <c r="F23">
        <v>3</v>
      </c>
      <c r="G23">
        <v>40</v>
      </c>
      <c r="H23">
        <v>60</v>
      </c>
      <c r="I23" t="s">
        <v>220</v>
      </c>
    </row>
    <row r="24" spans="1:9" x14ac:dyDescent="0.3">
      <c r="A24" t="s">
        <v>15</v>
      </c>
      <c r="B24" t="s">
        <v>10</v>
      </c>
      <c r="C24">
        <v>3</v>
      </c>
      <c r="D24">
        <v>5</v>
      </c>
      <c r="E24">
        <v>0</v>
      </c>
      <c r="F24">
        <v>5</v>
      </c>
      <c r="G24">
        <v>0</v>
      </c>
      <c r="H24">
        <v>100</v>
      </c>
      <c r="I24" t="s">
        <v>43</v>
      </c>
    </row>
    <row r="25" spans="1:9" x14ac:dyDescent="0.3">
      <c r="A25" t="s">
        <v>15</v>
      </c>
      <c r="B25" t="s">
        <v>10</v>
      </c>
      <c r="C25">
        <v>4</v>
      </c>
      <c r="D25">
        <v>5</v>
      </c>
      <c r="E25">
        <v>3</v>
      </c>
      <c r="F25">
        <v>2</v>
      </c>
      <c r="G25">
        <v>60</v>
      </c>
      <c r="H25">
        <v>40</v>
      </c>
      <c r="I25" t="s">
        <v>221</v>
      </c>
    </row>
    <row r="26" spans="1:9" x14ac:dyDescent="0.3">
      <c r="A26" t="s">
        <v>15</v>
      </c>
      <c r="B26" t="s">
        <v>11</v>
      </c>
      <c r="C26">
        <v>1</v>
      </c>
      <c r="D26">
        <v>5</v>
      </c>
      <c r="E26">
        <v>5</v>
      </c>
      <c r="F26">
        <v>0</v>
      </c>
      <c r="G26">
        <v>100</v>
      </c>
      <c r="H26">
        <v>0</v>
      </c>
      <c r="I26" t="s">
        <v>196</v>
      </c>
    </row>
    <row r="27" spans="1:9" x14ac:dyDescent="0.3">
      <c r="A27" t="s">
        <v>15</v>
      </c>
      <c r="B27" t="s">
        <v>11</v>
      </c>
      <c r="C27">
        <v>2</v>
      </c>
      <c r="D27">
        <v>5</v>
      </c>
      <c r="E27">
        <v>5</v>
      </c>
      <c r="F27">
        <v>0</v>
      </c>
      <c r="G27">
        <v>100</v>
      </c>
      <c r="H27">
        <v>0</v>
      </c>
      <c r="I27" t="s">
        <v>46</v>
      </c>
    </row>
    <row r="28" spans="1:9" x14ac:dyDescent="0.3">
      <c r="A28" t="s">
        <v>15</v>
      </c>
      <c r="B28" t="s">
        <v>11</v>
      </c>
      <c r="C28">
        <v>3</v>
      </c>
      <c r="D28">
        <v>5</v>
      </c>
      <c r="E28">
        <v>0</v>
      </c>
      <c r="F28">
        <v>5</v>
      </c>
      <c r="G28">
        <v>0</v>
      </c>
      <c r="H28">
        <v>100</v>
      </c>
      <c r="I28" t="s">
        <v>47</v>
      </c>
    </row>
    <row r="29" spans="1:9" x14ac:dyDescent="0.3">
      <c r="A29" t="s">
        <v>15</v>
      </c>
      <c r="B29" t="s">
        <v>11</v>
      </c>
      <c r="C29">
        <v>4</v>
      </c>
      <c r="D29">
        <v>5</v>
      </c>
      <c r="E29">
        <v>5</v>
      </c>
      <c r="F29">
        <v>0</v>
      </c>
      <c r="G29">
        <v>100</v>
      </c>
      <c r="H29">
        <v>0</v>
      </c>
      <c r="I29" t="s">
        <v>197</v>
      </c>
    </row>
    <row r="30" spans="1:9" x14ac:dyDescent="0.3">
      <c r="A30" t="s">
        <v>15</v>
      </c>
      <c r="B30" t="s">
        <v>13</v>
      </c>
      <c r="C30">
        <v>1</v>
      </c>
      <c r="D30">
        <v>5</v>
      </c>
      <c r="E30">
        <v>0</v>
      </c>
      <c r="F30">
        <v>5</v>
      </c>
      <c r="G30">
        <v>0</v>
      </c>
      <c r="H30">
        <v>100</v>
      </c>
      <c r="I30" t="s">
        <v>49</v>
      </c>
    </row>
    <row r="31" spans="1:9" x14ac:dyDescent="0.3">
      <c r="A31" t="s">
        <v>15</v>
      </c>
      <c r="B31" t="s">
        <v>13</v>
      </c>
      <c r="C31">
        <v>2</v>
      </c>
      <c r="D31">
        <v>5</v>
      </c>
      <c r="E31">
        <v>0</v>
      </c>
      <c r="F31">
        <v>5</v>
      </c>
      <c r="G31">
        <v>0</v>
      </c>
      <c r="H31">
        <v>100</v>
      </c>
      <c r="I31" t="s">
        <v>172</v>
      </c>
    </row>
    <row r="32" spans="1:9" x14ac:dyDescent="0.3">
      <c r="A32" t="s">
        <v>15</v>
      </c>
      <c r="B32" t="s">
        <v>13</v>
      </c>
      <c r="C32">
        <v>3</v>
      </c>
      <c r="D32">
        <v>5</v>
      </c>
      <c r="E32">
        <v>0</v>
      </c>
      <c r="F32">
        <v>5</v>
      </c>
      <c r="G32">
        <v>0</v>
      </c>
      <c r="H32">
        <v>100</v>
      </c>
      <c r="I32" t="s">
        <v>51</v>
      </c>
    </row>
    <row r="33" spans="1:9" x14ac:dyDescent="0.3">
      <c r="A33" t="s">
        <v>15</v>
      </c>
      <c r="B33" t="s">
        <v>13</v>
      </c>
      <c r="C33">
        <v>4</v>
      </c>
      <c r="D33">
        <v>5</v>
      </c>
      <c r="E33">
        <v>1</v>
      </c>
      <c r="F33">
        <v>4</v>
      </c>
      <c r="G33">
        <v>20</v>
      </c>
      <c r="H33">
        <v>80</v>
      </c>
      <c r="I33" t="s">
        <v>222</v>
      </c>
    </row>
    <row r="34" spans="1:9" x14ac:dyDescent="0.3">
      <c r="A34" t="s">
        <v>15</v>
      </c>
      <c r="B34" t="s">
        <v>14</v>
      </c>
      <c r="C34">
        <v>1</v>
      </c>
      <c r="D34">
        <v>5</v>
      </c>
      <c r="E34">
        <v>4</v>
      </c>
      <c r="F34">
        <v>1</v>
      </c>
      <c r="G34">
        <v>80</v>
      </c>
      <c r="H34">
        <v>20</v>
      </c>
      <c r="I34" t="s">
        <v>223</v>
      </c>
    </row>
    <row r="35" spans="1:9" x14ac:dyDescent="0.3">
      <c r="A35" t="s">
        <v>15</v>
      </c>
      <c r="B35" t="s">
        <v>14</v>
      </c>
      <c r="C35">
        <v>2</v>
      </c>
      <c r="D35">
        <v>5</v>
      </c>
      <c r="E35">
        <v>0</v>
      </c>
      <c r="F35">
        <v>5</v>
      </c>
      <c r="G35">
        <v>0</v>
      </c>
      <c r="H35">
        <v>100</v>
      </c>
      <c r="I35" t="s">
        <v>201</v>
      </c>
    </row>
    <row r="36" spans="1:9" x14ac:dyDescent="0.3">
      <c r="A36" t="s">
        <v>15</v>
      </c>
      <c r="B36" t="s">
        <v>14</v>
      </c>
      <c r="C36">
        <v>3</v>
      </c>
      <c r="D36">
        <v>5</v>
      </c>
      <c r="E36">
        <v>0</v>
      </c>
      <c r="F36">
        <v>5</v>
      </c>
      <c r="G36">
        <v>0</v>
      </c>
      <c r="H36">
        <v>100</v>
      </c>
      <c r="I36" t="s">
        <v>55</v>
      </c>
    </row>
    <row r="37" spans="1:9" x14ac:dyDescent="0.3">
      <c r="A37" t="s">
        <v>15</v>
      </c>
      <c r="B37" t="s">
        <v>14</v>
      </c>
      <c r="C37">
        <v>4</v>
      </c>
      <c r="D37">
        <v>5</v>
      </c>
      <c r="E37">
        <v>2</v>
      </c>
      <c r="F37">
        <v>3</v>
      </c>
      <c r="G37">
        <v>40</v>
      </c>
      <c r="H37">
        <v>60</v>
      </c>
      <c r="I37" t="s">
        <v>224</v>
      </c>
    </row>
    <row r="38" spans="1:9" x14ac:dyDescent="0.3">
      <c r="A38" t="s">
        <v>16</v>
      </c>
      <c r="B38" t="s">
        <v>10</v>
      </c>
      <c r="C38">
        <v>1</v>
      </c>
      <c r="D38">
        <v>5</v>
      </c>
      <c r="E38">
        <v>3</v>
      </c>
      <c r="F38">
        <v>2</v>
      </c>
      <c r="G38">
        <v>60</v>
      </c>
      <c r="H38">
        <v>40</v>
      </c>
      <c r="I38" t="s">
        <v>57</v>
      </c>
    </row>
    <row r="39" spans="1:9" x14ac:dyDescent="0.3">
      <c r="A39" t="s">
        <v>16</v>
      </c>
      <c r="B39" t="s">
        <v>10</v>
      </c>
      <c r="C39">
        <v>2</v>
      </c>
      <c r="D39">
        <v>5</v>
      </c>
      <c r="E39">
        <v>2</v>
      </c>
      <c r="F39">
        <v>3</v>
      </c>
      <c r="G39">
        <v>40</v>
      </c>
      <c r="H39">
        <v>60</v>
      </c>
      <c r="I39" t="s">
        <v>225</v>
      </c>
    </row>
    <row r="40" spans="1:9" x14ac:dyDescent="0.3">
      <c r="A40" t="s">
        <v>16</v>
      </c>
      <c r="B40" t="s">
        <v>10</v>
      </c>
      <c r="C40">
        <v>3</v>
      </c>
      <c r="D40">
        <v>5</v>
      </c>
      <c r="E40">
        <v>4</v>
      </c>
      <c r="F40">
        <v>1</v>
      </c>
      <c r="G40">
        <v>80</v>
      </c>
      <c r="H40">
        <v>20</v>
      </c>
      <c r="I40" t="s">
        <v>59</v>
      </c>
    </row>
    <row r="41" spans="1:9" x14ac:dyDescent="0.3">
      <c r="A41" t="s">
        <v>16</v>
      </c>
      <c r="B41" t="s">
        <v>10</v>
      </c>
      <c r="C41">
        <v>4</v>
      </c>
      <c r="D41">
        <v>5</v>
      </c>
      <c r="E41">
        <v>2</v>
      </c>
      <c r="F41">
        <v>3</v>
      </c>
      <c r="G41">
        <v>40</v>
      </c>
      <c r="H41">
        <v>60</v>
      </c>
      <c r="I41" t="s">
        <v>60</v>
      </c>
    </row>
    <row r="42" spans="1:9" x14ac:dyDescent="0.3">
      <c r="A42" t="s">
        <v>16</v>
      </c>
      <c r="B42" t="s">
        <v>11</v>
      </c>
      <c r="C42">
        <v>1</v>
      </c>
      <c r="D42">
        <v>5</v>
      </c>
      <c r="E42">
        <v>0</v>
      </c>
      <c r="F42">
        <v>5</v>
      </c>
      <c r="G42">
        <v>0</v>
      </c>
      <c r="H42">
        <v>100</v>
      </c>
      <c r="I42" t="s">
        <v>61</v>
      </c>
    </row>
    <row r="43" spans="1:9" x14ac:dyDescent="0.3">
      <c r="A43" t="s">
        <v>16</v>
      </c>
      <c r="B43" t="s">
        <v>11</v>
      </c>
      <c r="C43">
        <v>2</v>
      </c>
      <c r="D43">
        <v>5</v>
      </c>
      <c r="E43">
        <v>0</v>
      </c>
      <c r="F43">
        <v>5</v>
      </c>
      <c r="G43">
        <v>0</v>
      </c>
      <c r="H43">
        <v>100</v>
      </c>
      <c r="I43" t="s">
        <v>62</v>
      </c>
    </row>
    <row r="44" spans="1:9" x14ac:dyDescent="0.3">
      <c r="A44" t="s">
        <v>16</v>
      </c>
      <c r="B44" t="s">
        <v>11</v>
      </c>
      <c r="C44">
        <v>3</v>
      </c>
      <c r="D44">
        <v>5</v>
      </c>
      <c r="E44">
        <v>2</v>
      </c>
      <c r="F44">
        <v>3</v>
      </c>
      <c r="G44">
        <v>40</v>
      </c>
      <c r="H44">
        <v>60</v>
      </c>
      <c r="I44" t="s">
        <v>226</v>
      </c>
    </row>
    <row r="45" spans="1:9" x14ac:dyDescent="0.3">
      <c r="A45" t="s">
        <v>16</v>
      </c>
      <c r="B45" t="s">
        <v>11</v>
      </c>
      <c r="C45">
        <v>4</v>
      </c>
      <c r="D45">
        <v>5</v>
      </c>
      <c r="E45">
        <v>0</v>
      </c>
      <c r="F45">
        <v>5</v>
      </c>
      <c r="G45">
        <v>0</v>
      </c>
      <c r="H45">
        <v>100</v>
      </c>
      <c r="I45" t="s">
        <v>64</v>
      </c>
    </row>
    <row r="46" spans="1:9" x14ac:dyDescent="0.3">
      <c r="A46" t="s">
        <v>16</v>
      </c>
      <c r="B46" t="s">
        <v>13</v>
      </c>
      <c r="C46">
        <v>1</v>
      </c>
      <c r="D46">
        <v>5</v>
      </c>
      <c r="E46">
        <v>4</v>
      </c>
      <c r="F46">
        <v>1</v>
      </c>
      <c r="G46">
        <v>80</v>
      </c>
      <c r="H46">
        <v>20</v>
      </c>
      <c r="I46" t="s">
        <v>178</v>
      </c>
    </row>
    <row r="47" spans="1:9" x14ac:dyDescent="0.3">
      <c r="A47" t="s">
        <v>16</v>
      </c>
      <c r="B47" t="s">
        <v>13</v>
      </c>
      <c r="C47">
        <v>2</v>
      </c>
      <c r="D47">
        <v>5</v>
      </c>
      <c r="E47">
        <v>1</v>
      </c>
      <c r="F47">
        <v>4</v>
      </c>
      <c r="G47">
        <v>20</v>
      </c>
      <c r="H47">
        <v>80</v>
      </c>
      <c r="I47" t="s">
        <v>66</v>
      </c>
    </row>
    <row r="48" spans="1:9" x14ac:dyDescent="0.3">
      <c r="A48" t="s">
        <v>16</v>
      </c>
      <c r="B48" t="s">
        <v>13</v>
      </c>
      <c r="C48">
        <v>3</v>
      </c>
      <c r="D48">
        <v>5</v>
      </c>
      <c r="E48">
        <v>1</v>
      </c>
      <c r="F48">
        <v>4</v>
      </c>
      <c r="G48">
        <v>20</v>
      </c>
      <c r="H48">
        <v>80</v>
      </c>
      <c r="I48" t="s">
        <v>227</v>
      </c>
    </row>
    <row r="49" spans="1:9" x14ac:dyDescent="0.3">
      <c r="A49" t="s">
        <v>16</v>
      </c>
      <c r="B49" t="s">
        <v>13</v>
      </c>
      <c r="C49">
        <v>4</v>
      </c>
      <c r="D49">
        <v>5</v>
      </c>
      <c r="E49">
        <v>1</v>
      </c>
      <c r="F49">
        <v>4</v>
      </c>
      <c r="G49">
        <v>20</v>
      </c>
      <c r="H49">
        <v>80</v>
      </c>
      <c r="I49" t="s">
        <v>228</v>
      </c>
    </row>
    <row r="50" spans="1:9" x14ac:dyDescent="0.3">
      <c r="A50" t="s">
        <v>16</v>
      </c>
      <c r="B50" t="s">
        <v>14</v>
      </c>
      <c r="C50">
        <v>1</v>
      </c>
      <c r="D50">
        <v>5</v>
      </c>
      <c r="E50">
        <v>0</v>
      </c>
      <c r="F50">
        <v>5</v>
      </c>
      <c r="G50">
        <v>0</v>
      </c>
      <c r="H50">
        <v>100</v>
      </c>
      <c r="I50" t="s">
        <v>69</v>
      </c>
    </row>
    <row r="51" spans="1:9" x14ac:dyDescent="0.3">
      <c r="A51" t="s">
        <v>16</v>
      </c>
      <c r="B51" t="s">
        <v>14</v>
      </c>
      <c r="C51">
        <v>2</v>
      </c>
      <c r="D51">
        <v>5</v>
      </c>
      <c r="E51">
        <v>3</v>
      </c>
      <c r="F51">
        <v>2</v>
      </c>
      <c r="G51">
        <v>60</v>
      </c>
      <c r="H51">
        <v>40</v>
      </c>
      <c r="I51" t="s">
        <v>229</v>
      </c>
    </row>
    <row r="52" spans="1:9" x14ac:dyDescent="0.3">
      <c r="A52" t="s">
        <v>16</v>
      </c>
      <c r="B52" t="s">
        <v>14</v>
      </c>
      <c r="C52">
        <v>3</v>
      </c>
      <c r="D52">
        <v>5</v>
      </c>
      <c r="E52">
        <v>0</v>
      </c>
      <c r="F52">
        <v>5</v>
      </c>
      <c r="G52">
        <v>0</v>
      </c>
      <c r="H52">
        <v>100</v>
      </c>
      <c r="I52" t="s">
        <v>208</v>
      </c>
    </row>
    <row r="53" spans="1:9" x14ac:dyDescent="0.3">
      <c r="A53" t="s">
        <v>16</v>
      </c>
      <c r="B53" t="s">
        <v>14</v>
      </c>
      <c r="C53">
        <v>4</v>
      </c>
      <c r="D53">
        <v>5</v>
      </c>
      <c r="E53">
        <v>0</v>
      </c>
      <c r="F53">
        <v>5</v>
      </c>
      <c r="G53">
        <v>0</v>
      </c>
      <c r="H53">
        <v>100</v>
      </c>
      <c r="I53" t="s">
        <v>230</v>
      </c>
    </row>
    <row r="54" spans="1:9" x14ac:dyDescent="0.3">
      <c r="A54" t="s">
        <v>17</v>
      </c>
      <c r="B54" t="s">
        <v>10</v>
      </c>
      <c r="C54">
        <v>1</v>
      </c>
      <c r="D54">
        <v>5</v>
      </c>
      <c r="E54">
        <v>4</v>
      </c>
      <c r="F54">
        <v>1</v>
      </c>
      <c r="G54">
        <v>80</v>
      </c>
      <c r="H54">
        <v>20</v>
      </c>
      <c r="I54" t="s">
        <v>73</v>
      </c>
    </row>
    <row r="55" spans="1:9" x14ac:dyDescent="0.3">
      <c r="A55" t="s">
        <v>17</v>
      </c>
      <c r="B55" t="s">
        <v>10</v>
      </c>
      <c r="C55">
        <v>2</v>
      </c>
      <c r="D55">
        <v>5</v>
      </c>
      <c r="E55">
        <v>1</v>
      </c>
      <c r="F55">
        <v>4</v>
      </c>
      <c r="G55">
        <v>20</v>
      </c>
      <c r="H55">
        <v>80</v>
      </c>
      <c r="I55" t="s">
        <v>231</v>
      </c>
    </row>
    <row r="56" spans="1:9" x14ac:dyDescent="0.3">
      <c r="A56" t="s">
        <v>17</v>
      </c>
      <c r="B56" t="s">
        <v>10</v>
      </c>
      <c r="C56">
        <v>3</v>
      </c>
      <c r="D56">
        <v>5</v>
      </c>
      <c r="E56">
        <v>0</v>
      </c>
      <c r="F56">
        <v>5</v>
      </c>
      <c r="G56">
        <v>0</v>
      </c>
      <c r="H56">
        <v>100</v>
      </c>
      <c r="I56" t="s">
        <v>75</v>
      </c>
    </row>
    <row r="57" spans="1:9" x14ac:dyDescent="0.3">
      <c r="A57" t="s">
        <v>17</v>
      </c>
      <c r="B57" t="s">
        <v>10</v>
      </c>
      <c r="C57">
        <v>4</v>
      </c>
      <c r="D57">
        <v>5</v>
      </c>
      <c r="E57">
        <v>1</v>
      </c>
      <c r="F57">
        <v>4</v>
      </c>
      <c r="G57">
        <v>20</v>
      </c>
      <c r="H57">
        <v>80</v>
      </c>
      <c r="I57" t="s">
        <v>210</v>
      </c>
    </row>
    <row r="58" spans="1:9" x14ac:dyDescent="0.3">
      <c r="A58" t="s">
        <v>17</v>
      </c>
      <c r="B58" t="s">
        <v>11</v>
      </c>
      <c r="C58">
        <v>1</v>
      </c>
      <c r="D58">
        <v>5</v>
      </c>
      <c r="E58">
        <v>2</v>
      </c>
      <c r="F58">
        <v>3</v>
      </c>
      <c r="G58">
        <v>40</v>
      </c>
      <c r="H58">
        <v>60</v>
      </c>
      <c r="I58" t="s">
        <v>211</v>
      </c>
    </row>
    <row r="59" spans="1:9" x14ac:dyDescent="0.3">
      <c r="A59" t="s">
        <v>17</v>
      </c>
      <c r="B59" t="s">
        <v>11</v>
      </c>
      <c r="C59">
        <v>2</v>
      </c>
      <c r="D59">
        <v>5</v>
      </c>
      <c r="E59">
        <v>1</v>
      </c>
      <c r="F59">
        <v>4</v>
      </c>
      <c r="G59">
        <v>20</v>
      </c>
      <c r="H59">
        <v>80</v>
      </c>
      <c r="I59" t="s">
        <v>212</v>
      </c>
    </row>
    <row r="60" spans="1:9" x14ac:dyDescent="0.3">
      <c r="A60" t="s">
        <v>17</v>
      </c>
      <c r="B60" t="s">
        <v>11</v>
      </c>
      <c r="C60">
        <v>3</v>
      </c>
      <c r="D60">
        <v>5</v>
      </c>
      <c r="E60">
        <v>0</v>
      </c>
      <c r="F60">
        <v>5</v>
      </c>
      <c r="G60">
        <v>0</v>
      </c>
      <c r="H60">
        <v>100</v>
      </c>
      <c r="I60" t="s">
        <v>79</v>
      </c>
    </row>
    <row r="61" spans="1:9" x14ac:dyDescent="0.3">
      <c r="A61" t="s">
        <v>17</v>
      </c>
      <c r="B61" t="s">
        <v>11</v>
      </c>
      <c r="C61">
        <v>4</v>
      </c>
      <c r="D61">
        <v>5</v>
      </c>
      <c r="E61">
        <v>0</v>
      </c>
      <c r="F61">
        <v>5</v>
      </c>
      <c r="G61">
        <v>0</v>
      </c>
      <c r="H61">
        <v>100</v>
      </c>
      <c r="I61" t="s">
        <v>80</v>
      </c>
    </row>
    <row r="62" spans="1:9" x14ac:dyDescent="0.3">
      <c r="A62" t="s">
        <v>17</v>
      </c>
      <c r="B62" t="s">
        <v>13</v>
      </c>
      <c r="C62">
        <v>1</v>
      </c>
      <c r="D62">
        <v>5</v>
      </c>
      <c r="E62">
        <v>3</v>
      </c>
      <c r="F62">
        <v>2</v>
      </c>
      <c r="G62">
        <v>60</v>
      </c>
      <c r="H62">
        <v>40</v>
      </c>
      <c r="I62" t="s">
        <v>232</v>
      </c>
    </row>
    <row r="63" spans="1:9" x14ac:dyDescent="0.3">
      <c r="A63" t="s">
        <v>17</v>
      </c>
      <c r="B63" t="s">
        <v>13</v>
      </c>
      <c r="C63">
        <v>2</v>
      </c>
      <c r="D63">
        <v>5</v>
      </c>
      <c r="E63">
        <v>0</v>
      </c>
      <c r="F63">
        <v>5</v>
      </c>
      <c r="G63">
        <v>0</v>
      </c>
      <c r="H63">
        <v>100</v>
      </c>
      <c r="I63" t="s">
        <v>82</v>
      </c>
    </row>
    <row r="64" spans="1:9" x14ac:dyDescent="0.3">
      <c r="A64" t="s">
        <v>17</v>
      </c>
      <c r="B64" t="s">
        <v>13</v>
      </c>
      <c r="C64">
        <v>3</v>
      </c>
      <c r="D64">
        <v>5</v>
      </c>
      <c r="E64">
        <v>0</v>
      </c>
      <c r="F64">
        <v>5</v>
      </c>
      <c r="G64">
        <v>0</v>
      </c>
      <c r="H64">
        <v>100</v>
      </c>
      <c r="I64" t="s">
        <v>83</v>
      </c>
    </row>
    <row r="65" spans="1:9" x14ac:dyDescent="0.3">
      <c r="A65" t="s">
        <v>17</v>
      </c>
      <c r="B65" t="s">
        <v>13</v>
      </c>
      <c r="C65">
        <v>4</v>
      </c>
      <c r="D65">
        <v>5</v>
      </c>
      <c r="E65">
        <v>1</v>
      </c>
      <c r="F65">
        <v>4</v>
      </c>
      <c r="G65">
        <v>20</v>
      </c>
      <c r="H65">
        <v>80</v>
      </c>
      <c r="I65" t="s">
        <v>181</v>
      </c>
    </row>
    <row r="66" spans="1:9" x14ac:dyDescent="0.3">
      <c r="A66" t="s">
        <v>17</v>
      </c>
      <c r="B66" t="s">
        <v>14</v>
      </c>
      <c r="C66">
        <v>1</v>
      </c>
      <c r="D66">
        <v>5</v>
      </c>
      <c r="E66">
        <v>3</v>
      </c>
      <c r="F66">
        <v>2</v>
      </c>
      <c r="G66">
        <v>60</v>
      </c>
      <c r="H66">
        <v>40</v>
      </c>
      <c r="I66" t="s">
        <v>233</v>
      </c>
    </row>
    <row r="67" spans="1:9" x14ac:dyDescent="0.3">
      <c r="A67" t="s">
        <v>17</v>
      </c>
      <c r="B67" t="s">
        <v>14</v>
      </c>
      <c r="C67">
        <v>2</v>
      </c>
      <c r="D67">
        <v>5</v>
      </c>
      <c r="E67">
        <v>1</v>
      </c>
      <c r="F67">
        <v>4</v>
      </c>
      <c r="G67">
        <v>20</v>
      </c>
      <c r="H67">
        <v>80</v>
      </c>
      <c r="I67" t="s">
        <v>86</v>
      </c>
    </row>
    <row r="68" spans="1:9" x14ac:dyDescent="0.3">
      <c r="A68" t="s">
        <v>17</v>
      </c>
      <c r="B68" t="s">
        <v>14</v>
      </c>
      <c r="C68">
        <v>3</v>
      </c>
      <c r="D68">
        <v>5</v>
      </c>
      <c r="E68">
        <v>1</v>
      </c>
      <c r="F68">
        <v>4</v>
      </c>
      <c r="G68">
        <v>20</v>
      </c>
      <c r="H68">
        <v>80</v>
      </c>
      <c r="I68" t="s">
        <v>234</v>
      </c>
    </row>
    <row r="69" spans="1:9" x14ac:dyDescent="0.3">
      <c r="A69" t="s">
        <v>17</v>
      </c>
      <c r="B69" t="s">
        <v>14</v>
      </c>
      <c r="C69">
        <v>4</v>
      </c>
      <c r="D69">
        <v>5</v>
      </c>
      <c r="E69">
        <v>1</v>
      </c>
      <c r="F69">
        <v>4</v>
      </c>
      <c r="G69">
        <v>20</v>
      </c>
      <c r="H69">
        <v>80</v>
      </c>
      <c r="I69" t="s">
        <v>216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5706-DD2E-41F4-B8BE-940BC8EC025D}">
  <dimension ref="A1:M53"/>
  <sheetViews>
    <sheetView topLeftCell="A28" workbookViewId="0">
      <selection activeCell="J12" sqref="J12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</row>
    <row r="2" spans="1:13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1</v>
      </c>
      <c r="J2">
        <v>4</v>
      </c>
      <c r="K2">
        <v>20</v>
      </c>
      <c r="L2">
        <v>80</v>
      </c>
      <c r="M2">
        <v>20</v>
      </c>
    </row>
    <row r="3" spans="1:13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1</v>
      </c>
      <c r="J3">
        <v>4</v>
      </c>
      <c r="K3">
        <v>20</v>
      </c>
      <c r="L3">
        <v>80</v>
      </c>
      <c r="M3">
        <v>20</v>
      </c>
    </row>
    <row r="4" spans="1:13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1</v>
      </c>
      <c r="J4">
        <v>4</v>
      </c>
      <c r="K4">
        <v>20</v>
      </c>
      <c r="L4">
        <v>80</v>
      </c>
      <c r="M4">
        <v>20</v>
      </c>
    </row>
    <row r="5" spans="1:13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5</v>
      </c>
      <c r="J5">
        <v>0</v>
      </c>
      <c r="K5">
        <v>100</v>
      </c>
      <c r="L5">
        <v>0</v>
      </c>
      <c r="M5">
        <v>100</v>
      </c>
    </row>
    <row r="6" spans="1:13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1</v>
      </c>
      <c r="J6">
        <v>4</v>
      </c>
      <c r="K6">
        <v>20</v>
      </c>
      <c r="L6">
        <v>80</v>
      </c>
      <c r="M6">
        <v>20</v>
      </c>
    </row>
    <row r="7" spans="1:13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2</v>
      </c>
      <c r="J7">
        <v>3</v>
      </c>
      <c r="K7">
        <v>40</v>
      </c>
      <c r="L7">
        <v>60</v>
      </c>
      <c r="M7">
        <v>40</v>
      </c>
    </row>
    <row r="8" spans="1:13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2</v>
      </c>
      <c r="J8">
        <v>3</v>
      </c>
      <c r="K8">
        <v>40</v>
      </c>
      <c r="L8">
        <v>60</v>
      </c>
      <c r="M8">
        <v>40</v>
      </c>
    </row>
    <row r="9" spans="1:13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1</v>
      </c>
      <c r="J9">
        <v>4</v>
      </c>
      <c r="K9">
        <v>20</v>
      </c>
      <c r="L9">
        <v>80</v>
      </c>
      <c r="M9">
        <v>20</v>
      </c>
    </row>
    <row r="10" spans="1:13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4</v>
      </c>
      <c r="J10">
        <v>1</v>
      </c>
      <c r="K10">
        <v>80</v>
      </c>
      <c r="L10">
        <v>20</v>
      </c>
      <c r="M10">
        <v>80</v>
      </c>
    </row>
    <row r="11" spans="1:13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3</v>
      </c>
      <c r="J11">
        <v>2</v>
      </c>
      <c r="K11">
        <v>60</v>
      </c>
      <c r="L11">
        <v>40</v>
      </c>
      <c r="M11">
        <v>60</v>
      </c>
    </row>
    <row r="12" spans="1:13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0</v>
      </c>
      <c r="J12">
        <v>5</v>
      </c>
      <c r="K12">
        <v>0</v>
      </c>
      <c r="L12">
        <v>100</v>
      </c>
      <c r="M12">
        <v>0</v>
      </c>
    </row>
    <row r="13" spans="1:13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5</v>
      </c>
      <c r="J13">
        <v>0</v>
      </c>
      <c r="K13">
        <v>100</v>
      </c>
      <c r="L13">
        <v>0</v>
      </c>
      <c r="M13">
        <v>100</v>
      </c>
    </row>
    <row r="14" spans="1:13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5</v>
      </c>
      <c r="J14">
        <v>0</v>
      </c>
      <c r="K14">
        <v>100</v>
      </c>
      <c r="L14">
        <v>0</v>
      </c>
      <c r="M14">
        <v>100</v>
      </c>
    </row>
    <row r="15" spans="1:13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0</v>
      </c>
      <c r="J15">
        <v>5</v>
      </c>
      <c r="K15">
        <v>0</v>
      </c>
      <c r="L15">
        <v>100</v>
      </c>
      <c r="M15">
        <v>0</v>
      </c>
    </row>
    <row r="16" spans="1:13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</row>
    <row r="17" spans="1:13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4</v>
      </c>
      <c r="J17">
        <v>1</v>
      </c>
      <c r="K17">
        <v>80</v>
      </c>
      <c r="L17">
        <v>20</v>
      </c>
      <c r="M17">
        <v>80</v>
      </c>
    </row>
    <row r="18" spans="1:13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0</v>
      </c>
      <c r="J18">
        <v>5</v>
      </c>
      <c r="K18">
        <v>0</v>
      </c>
      <c r="L18">
        <v>100</v>
      </c>
      <c r="M18">
        <v>0</v>
      </c>
    </row>
    <row r="19" spans="1:13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0</v>
      </c>
      <c r="J19">
        <v>5</v>
      </c>
      <c r="K19">
        <v>0</v>
      </c>
      <c r="L19">
        <v>100</v>
      </c>
      <c r="M19">
        <v>0</v>
      </c>
    </row>
    <row r="20" spans="1:13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4</v>
      </c>
      <c r="J20">
        <v>1</v>
      </c>
      <c r="K20">
        <v>80</v>
      </c>
      <c r="L20">
        <v>20</v>
      </c>
      <c r="M20">
        <v>80</v>
      </c>
    </row>
    <row r="21" spans="1:13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4</v>
      </c>
      <c r="J21">
        <v>1</v>
      </c>
      <c r="K21">
        <v>80</v>
      </c>
      <c r="L21">
        <v>20</v>
      </c>
      <c r="M21">
        <v>80</v>
      </c>
    </row>
    <row r="22" spans="1:13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4</v>
      </c>
      <c r="J22">
        <v>1</v>
      </c>
      <c r="K22">
        <v>80</v>
      </c>
      <c r="L22">
        <v>20</v>
      </c>
      <c r="M22">
        <v>80</v>
      </c>
    </row>
    <row r="23" spans="1:13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0</v>
      </c>
      <c r="J23">
        <v>5</v>
      </c>
      <c r="K23">
        <v>0</v>
      </c>
      <c r="L23">
        <v>100</v>
      </c>
      <c r="M23">
        <v>0</v>
      </c>
    </row>
    <row r="24" spans="1:13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5</v>
      </c>
      <c r="J24">
        <v>0</v>
      </c>
      <c r="K24">
        <v>100</v>
      </c>
      <c r="L24">
        <v>0</v>
      </c>
      <c r="M24">
        <v>100</v>
      </c>
    </row>
    <row r="25" spans="1:13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4</v>
      </c>
      <c r="J25">
        <v>1</v>
      </c>
      <c r="K25">
        <v>80</v>
      </c>
      <c r="L25">
        <v>20</v>
      </c>
      <c r="M25">
        <v>80</v>
      </c>
    </row>
    <row r="26" spans="1:13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4</v>
      </c>
      <c r="J26">
        <v>1</v>
      </c>
      <c r="K26">
        <v>80</v>
      </c>
      <c r="L26">
        <v>20</v>
      </c>
      <c r="M26">
        <v>80</v>
      </c>
    </row>
    <row r="27" spans="1:13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3</v>
      </c>
      <c r="J27">
        <v>2</v>
      </c>
      <c r="K27">
        <v>60</v>
      </c>
      <c r="L27">
        <v>40</v>
      </c>
      <c r="M27">
        <v>60</v>
      </c>
    </row>
    <row r="28" spans="1:13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5</v>
      </c>
      <c r="J28">
        <v>0</v>
      </c>
      <c r="K28">
        <v>100</v>
      </c>
      <c r="L28">
        <v>0</v>
      </c>
      <c r="M28">
        <v>100</v>
      </c>
    </row>
    <row r="29" spans="1:13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</row>
    <row r="30" spans="1:13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3</v>
      </c>
      <c r="J30">
        <v>2</v>
      </c>
      <c r="K30">
        <v>60</v>
      </c>
      <c r="L30">
        <v>40</v>
      </c>
      <c r="M30">
        <v>60</v>
      </c>
    </row>
    <row r="31" spans="1:13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4</v>
      </c>
      <c r="J31">
        <v>1</v>
      </c>
      <c r="K31">
        <v>80</v>
      </c>
      <c r="L31">
        <v>20</v>
      </c>
      <c r="M31">
        <v>80</v>
      </c>
    </row>
    <row r="32" spans="1:13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5</v>
      </c>
      <c r="J32">
        <v>0</v>
      </c>
      <c r="K32">
        <v>100</v>
      </c>
      <c r="L32">
        <v>0</v>
      </c>
      <c r="M32">
        <v>100</v>
      </c>
    </row>
    <row r="33" spans="1:13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</row>
    <row r="34" spans="1:13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2</v>
      </c>
      <c r="J34">
        <v>3</v>
      </c>
      <c r="K34">
        <v>40</v>
      </c>
      <c r="L34">
        <v>60</v>
      </c>
      <c r="M34">
        <v>40</v>
      </c>
    </row>
    <row r="35" spans="1:13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3</v>
      </c>
      <c r="J35">
        <v>2</v>
      </c>
      <c r="K35">
        <v>60</v>
      </c>
      <c r="L35">
        <v>40</v>
      </c>
      <c r="M35">
        <v>60</v>
      </c>
    </row>
    <row r="36" spans="1:13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5</v>
      </c>
      <c r="J36">
        <v>0</v>
      </c>
      <c r="K36">
        <v>100</v>
      </c>
      <c r="L36">
        <v>0</v>
      </c>
      <c r="M36">
        <v>100</v>
      </c>
    </row>
    <row r="37" spans="1:13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5</v>
      </c>
      <c r="J37">
        <v>0</v>
      </c>
      <c r="K37">
        <v>100</v>
      </c>
      <c r="L37">
        <v>0</v>
      </c>
      <c r="M37">
        <v>100</v>
      </c>
    </row>
    <row r="38" spans="1:13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0</v>
      </c>
      <c r="J38">
        <v>5</v>
      </c>
      <c r="K38">
        <v>0</v>
      </c>
      <c r="L38">
        <v>100</v>
      </c>
      <c r="M38">
        <v>0</v>
      </c>
    </row>
    <row r="39" spans="1:13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1</v>
      </c>
      <c r="J39">
        <v>4</v>
      </c>
      <c r="K39">
        <v>20</v>
      </c>
      <c r="L39">
        <v>80</v>
      </c>
      <c r="M39">
        <v>20</v>
      </c>
    </row>
    <row r="40" spans="1:13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5</v>
      </c>
      <c r="J40">
        <v>0</v>
      </c>
      <c r="K40">
        <v>100</v>
      </c>
      <c r="L40">
        <v>0</v>
      </c>
      <c r="M40">
        <v>100</v>
      </c>
    </row>
    <row r="41" spans="1:13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0</v>
      </c>
      <c r="J41">
        <v>5</v>
      </c>
      <c r="K41">
        <v>0</v>
      </c>
      <c r="L41">
        <v>100</v>
      </c>
      <c r="M41">
        <v>0</v>
      </c>
    </row>
    <row r="42" spans="1:13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0</v>
      </c>
      <c r="J42">
        <v>5</v>
      </c>
      <c r="K42">
        <v>0</v>
      </c>
      <c r="L42">
        <v>100</v>
      </c>
      <c r="M42">
        <v>0</v>
      </c>
    </row>
    <row r="43" spans="1:13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1</v>
      </c>
      <c r="J43">
        <v>4</v>
      </c>
      <c r="K43">
        <v>20</v>
      </c>
      <c r="L43">
        <v>80</v>
      </c>
      <c r="M43">
        <v>20</v>
      </c>
    </row>
    <row r="44" spans="1:13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5</v>
      </c>
      <c r="J44">
        <v>0</v>
      </c>
      <c r="K44">
        <v>100</v>
      </c>
      <c r="L44">
        <v>0</v>
      </c>
      <c r="M44">
        <v>100</v>
      </c>
    </row>
    <row r="45" spans="1:13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5</v>
      </c>
      <c r="J45">
        <v>0</v>
      </c>
      <c r="K45">
        <v>100</v>
      </c>
      <c r="L45">
        <v>0</v>
      </c>
      <c r="M45">
        <v>100</v>
      </c>
    </row>
    <row r="46" spans="1:13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5</v>
      </c>
      <c r="J46">
        <v>0</v>
      </c>
      <c r="K46">
        <v>100</v>
      </c>
      <c r="L46">
        <v>0</v>
      </c>
      <c r="M46">
        <v>100</v>
      </c>
    </row>
    <row r="47" spans="1:13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5</v>
      </c>
      <c r="J47">
        <v>0</v>
      </c>
      <c r="K47">
        <v>100</v>
      </c>
      <c r="L47">
        <v>0</v>
      </c>
      <c r="M47">
        <v>100</v>
      </c>
    </row>
    <row r="48" spans="1:13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0</v>
      </c>
      <c r="J48">
        <v>5</v>
      </c>
      <c r="K48">
        <v>0</v>
      </c>
      <c r="L48">
        <v>100</v>
      </c>
      <c r="M48">
        <v>0</v>
      </c>
    </row>
    <row r="49" spans="1:13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</row>
    <row r="50" spans="1:13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0</v>
      </c>
      <c r="J50">
        <v>5</v>
      </c>
      <c r="K50">
        <v>0</v>
      </c>
      <c r="L50">
        <v>100</v>
      </c>
      <c r="M50">
        <v>0</v>
      </c>
    </row>
    <row r="51" spans="1:13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2</v>
      </c>
      <c r="J51">
        <v>3</v>
      </c>
      <c r="K51">
        <v>40</v>
      </c>
      <c r="L51">
        <v>60</v>
      </c>
      <c r="M51">
        <v>40</v>
      </c>
    </row>
    <row r="52" spans="1:13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5</v>
      </c>
      <c r="J52">
        <v>0</v>
      </c>
      <c r="K52">
        <v>100</v>
      </c>
      <c r="L52">
        <v>0</v>
      </c>
      <c r="M52">
        <v>100</v>
      </c>
    </row>
    <row r="53" spans="1:13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5</v>
      </c>
      <c r="J53">
        <v>0</v>
      </c>
      <c r="K53">
        <v>100</v>
      </c>
      <c r="L53">
        <v>0</v>
      </c>
      <c r="M53">
        <v>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C81A-2E4C-4B40-9FA5-7E52E1A431F9}">
  <dimension ref="A1:I69"/>
  <sheetViews>
    <sheetView topLeftCell="A44" workbookViewId="0">
      <selection activeCell="H9" sqref="H9"/>
    </sheetView>
  </sheetViews>
  <sheetFormatPr defaultRowHeight="14.4" x14ac:dyDescent="0.3"/>
  <cols>
    <col min="2" max="2" width="10" customWidth="1"/>
    <col min="3" max="3" width="11.88671875" customWidth="1"/>
    <col min="4" max="4" width="11.109375" customWidth="1"/>
    <col min="5" max="5" width="14.33203125" customWidth="1"/>
    <col min="6" max="6" width="15.5546875" customWidth="1"/>
    <col min="7" max="7" width="21.33203125" customWidth="1"/>
    <col min="8" max="8" width="22.5546875" customWidth="1"/>
    <col min="9" max="9" width="4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5</v>
      </c>
      <c r="E2">
        <v>1</v>
      </c>
      <c r="F2">
        <v>4</v>
      </c>
      <c r="G2">
        <v>20</v>
      </c>
      <c r="H2">
        <v>80</v>
      </c>
      <c r="I2" t="s">
        <v>185</v>
      </c>
    </row>
    <row r="3" spans="1:9" x14ac:dyDescent="0.3">
      <c r="A3" t="s">
        <v>9</v>
      </c>
      <c r="B3" t="s">
        <v>10</v>
      </c>
      <c r="C3">
        <v>2</v>
      </c>
      <c r="D3">
        <v>5</v>
      </c>
      <c r="E3">
        <v>0</v>
      </c>
      <c r="F3">
        <v>5</v>
      </c>
      <c r="G3">
        <v>0</v>
      </c>
      <c r="H3">
        <v>100</v>
      </c>
      <c r="I3" t="s">
        <v>22</v>
      </c>
    </row>
    <row r="4" spans="1:9" x14ac:dyDescent="0.3">
      <c r="A4" t="s">
        <v>9</v>
      </c>
      <c r="B4" t="s">
        <v>10</v>
      </c>
      <c r="C4">
        <v>3</v>
      </c>
      <c r="D4">
        <v>5</v>
      </c>
      <c r="E4">
        <v>0</v>
      </c>
      <c r="F4">
        <v>5</v>
      </c>
      <c r="G4">
        <v>0</v>
      </c>
      <c r="H4">
        <v>100</v>
      </c>
      <c r="I4" t="s">
        <v>23</v>
      </c>
    </row>
    <row r="5" spans="1:9" x14ac:dyDescent="0.3">
      <c r="A5" t="s">
        <v>9</v>
      </c>
      <c r="B5" t="s">
        <v>10</v>
      </c>
      <c r="C5">
        <v>4</v>
      </c>
      <c r="D5">
        <v>5</v>
      </c>
      <c r="E5">
        <v>0</v>
      </c>
      <c r="F5">
        <v>5</v>
      </c>
      <c r="G5">
        <v>0</v>
      </c>
      <c r="H5">
        <v>100</v>
      </c>
      <c r="I5" t="s">
        <v>24</v>
      </c>
    </row>
    <row r="6" spans="1:9" x14ac:dyDescent="0.3">
      <c r="A6" t="s">
        <v>9</v>
      </c>
      <c r="B6" t="s">
        <v>11</v>
      </c>
      <c r="C6">
        <v>1</v>
      </c>
      <c r="D6">
        <v>5</v>
      </c>
      <c r="E6">
        <v>5</v>
      </c>
      <c r="F6">
        <v>0</v>
      </c>
      <c r="G6">
        <v>100</v>
      </c>
      <c r="H6">
        <v>0</v>
      </c>
      <c r="I6" t="s">
        <v>186</v>
      </c>
    </row>
    <row r="7" spans="1:9" x14ac:dyDescent="0.3">
      <c r="A7" t="s">
        <v>9</v>
      </c>
      <c r="B7" t="s">
        <v>11</v>
      </c>
      <c r="C7">
        <v>2</v>
      </c>
      <c r="D7">
        <v>5</v>
      </c>
      <c r="E7">
        <v>5</v>
      </c>
      <c r="F7">
        <v>0</v>
      </c>
      <c r="G7">
        <v>100</v>
      </c>
      <c r="H7">
        <v>0</v>
      </c>
      <c r="I7" t="s">
        <v>187</v>
      </c>
    </row>
    <row r="8" spans="1:9" x14ac:dyDescent="0.3">
      <c r="A8" t="s">
        <v>9</v>
      </c>
      <c r="B8" t="s">
        <v>11</v>
      </c>
      <c r="C8">
        <v>3</v>
      </c>
      <c r="D8">
        <v>5</v>
      </c>
      <c r="E8">
        <v>0</v>
      </c>
      <c r="F8">
        <v>5</v>
      </c>
      <c r="G8">
        <v>0</v>
      </c>
      <c r="H8">
        <v>100</v>
      </c>
      <c r="I8" t="s">
        <v>27</v>
      </c>
    </row>
    <row r="9" spans="1:9" x14ac:dyDescent="0.3">
      <c r="A9" t="s">
        <v>9</v>
      </c>
      <c r="B9" t="s">
        <v>11</v>
      </c>
      <c r="C9">
        <v>4</v>
      </c>
      <c r="D9">
        <v>5</v>
      </c>
      <c r="E9">
        <v>1</v>
      </c>
      <c r="F9">
        <v>4</v>
      </c>
      <c r="G9">
        <v>20</v>
      </c>
      <c r="H9">
        <v>80</v>
      </c>
      <c r="I9" t="s">
        <v>188</v>
      </c>
    </row>
    <row r="10" spans="1:9" x14ac:dyDescent="0.3">
      <c r="A10" t="s">
        <v>9</v>
      </c>
      <c r="B10" t="s">
        <v>12</v>
      </c>
      <c r="C10">
        <v>1</v>
      </c>
      <c r="D10">
        <v>5</v>
      </c>
      <c r="E10">
        <v>5</v>
      </c>
      <c r="F10">
        <v>0</v>
      </c>
      <c r="G10">
        <v>100</v>
      </c>
      <c r="H10">
        <v>0</v>
      </c>
      <c r="I10" t="s">
        <v>189</v>
      </c>
    </row>
    <row r="11" spans="1:9" x14ac:dyDescent="0.3">
      <c r="A11" t="s">
        <v>9</v>
      </c>
      <c r="B11" t="s">
        <v>12</v>
      </c>
      <c r="C11">
        <v>2</v>
      </c>
      <c r="D11">
        <v>5</v>
      </c>
      <c r="E11">
        <v>2</v>
      </c>
      <c r="F11">
        <v>3</v>
      </c>
      <c r="G11">
        <v>40</v>
      </c>
      <c r="H11">
        <v>60</v>
      </c>
      <c r="I11" t="s">
        <v>190</v>
      </c>
    </row>
    <row r="12" spans="1:9" x14ac:dyDescent="0.3">
      <c r="A12" t="s">
        <v>9</v>
      </c>
      <c r="B12" t="s">
        <v>12</v>
      </c>
      <c r="C12">
        <v>3</v>
      </c>
      <c r="D12">
        <v>5</v>
      </c>
      <c r="E12">
        <v>0</v>
      </c>
      <c r="F12">
        <v>5</v>
      </c>
      <c r="G12">
        <v>0</v>
      </c>
      <c r="H12">
        <v>100</v>
      </c>
      <c r="I12" t="s">
        <v>31</v>
      </c>
    </row>
    <row r="13" spans="1:9" x14ac:dyDescent="0.3">
      <c r="A13" t="s">
        <v>9</v>
      </c>
      <c r="B13" t="s">
        <v>12</v>
      </c>
      <c r="C13">
        <v>4</v>
      </c>
      <c r="D13">
        <v>5</v>
      </c>
      <c r="E13">
        <v>4</v>
      </c>
      <c r="F13">
        <v>1</v>
      </c>
      <c r="G13">
        <v>80</v>
      </c>
      <c r="H13">
        <v>20</v>
      </c>
      <c r="I13" t="s">
        <v>191</v>
      </c>
    </row>
    <row r="14" spans="1:9" x14ac:dyDescent="0.3">
      <c r="A14" t="s">
        <v>9</v>
      </c>
      <c r="B14" t="s">
        <v>13</v>
      </c>
      <c r="C14">
        <v>1</v>
      </c>
      <c r="D14">
        <v>5</v>
      </c>
      <c r="E14">
        <v>0</v>
      </c>
      <c r="F14">
        <v>5</v>
      </c>
      <c r="G14">
        <v>0</v>
      </c>
      <c r="H14">
        <v>100</v>
      </c>
      <c r="I14" t="s">
        <v>33</v>
      </c>
    </row>
    <row r="15" spans="1:9" x14ac:dyDescent="0.3">
      <c r="A15" t="s">
        <v>9</v>
      </c>
      <c r="B15" t="s">
        <v>13</v>
      </c>
      <c r="C15">
        <v>2</v>
      </c>
      <c r="D15">
        <v>5</v>
      </c>
      <c r="E15">
        <v>0</v>
      </c>
      <c r="F15">
        <v>5</v>
      </c>
      <c r="G15">
        <v>0</v>
      </c>
      <c r="H15">
        <v>100</v>
      </c>
      <c r="I15" t="s">
        <v>34</v>
      </c>
    </row>
    <row r="16" spans="1:9" x14ac:dyDescent="0.3">
      <c r="A16" t="s">
        <v>9</v>
      </c>
      <c r="B16" t="s">
        <v>13</v>
      </c>
      <c r="C16">
        <v>3</v>
      </c>
      <c r="D16">
        <v>5</v>
      </c>
      <c r="E16">
        <v>0</v>
      </c>
      <c r="F16">
        <v>5</v>
      </c>
      <c r="G16">
        <v>0</v>
      </c>
      <c r="H16">
        <v>100</v>
      </c>
      <c r="I16" t="s">
        <v>35</v>
      </c>
    </row>
    <row r="17" spans="1:9" x14ac:dyDescent="0.3">
      <c r="A17" t="s">
        <v>9</v>
      </c>
      <c r="B17" t="s">
        <v>13</v>
      </c>
      <c r="C17">
        <v>4</v>
      </c>
      <c r="D17">
        <v>5</v>
      </c>
      <c r="E17">
        <v>2</v>
      </c>
      <c r="F17">
        <v>3</v>
      </c>
      <c r="G17">
        <v>40</v>
      </c>
      <c r="H17">
        <v>60</v>
      </c>
      <c r="I17" t="s">
        <v>192</v>
      </c>
    </row>
    <row r="18" spans="1:9" x14ac:dyDescent="0.3">
      <c r="A18" t="s">
        <v>9</v>
      </c>
      <c r="B18" t="s">
        <v>14</v>
      </c>
      <c r="C18">
        <v>1</v>
      </c>
      <c r="D18">
        <v>5</v>
      </c>
      <c r="E18">
        <v>0</v>
      </c>
      <c r="F18">
        <v>5</v>
      </c>
      <c r="G18">
        <v>0</v>
      </c>
      <c r="H18">
        <v>100</v>
      </c>
      <c r="I18" t="s">
        <v>37</v>
      </c>
    </row>
    <row r="19" spans="1:9" x14ac:dyDescent="0.3">
      <c r="A19" t="s">
        <v>9</v>
      </c>
      <c r="B19" t="s">
        <v>14</v>
      </c>
      <c r="C19">
        <v>2</v>
      </c>
      <c r="D19">
        <v>5</v>
      </c>
      <c r="E19">
        <v>0</v>
      </c>
      <c r="F19">
        <v>5</v>
      </c>
      <c r="G19">
        <v>0</v>
      </c>
      <c r="H19">
        <v>100</v>
      </c>
      <c r="I19" t="s">
        <v>38</v>
      </c>
    </row>
    <row r="20" spans="1:9" x14ac:dyDescent="0.3">
      <c r="A20" t="s">
        <v>9</v>
      </c>
      <c r="B20" t="s">
        <v>14</v>
      </c>
      <c r="C20">
        <v>3</v>
      </c>
      <c r="D20">
        <v>5</v>
      </c>
      <c r="E20">
        <v>0</v>
      </c>
      <c r="F20">
        <v>5</v>
      </c>
      <c r="G20">
        <v>0</v>
      </c>
      <c r="H20">
        <v>100</v>
      </c>
      <c r="I20" t="s">
        <v>39</v>
      </c>
    </row>
    <row r="21" spans="1:9" x14ac:dyDescent="0.3">
      <c r="A21" t="s">
        <v>9</v>
      </c>
      <c r="B21" t="s">
        <v>14</v>
      </c>
      <c r="C21">
        <v>4</v>
      </c>
      <c r="D21">
        <v>5</v>
      </c>
      <c r="E21">
        <v>0</v>
      </c>
      <c r="F21">
        <v>5</v>
      </c>
      <c r="G21">
        <v>0</v>
      </c>
      <c r="H21">
        <v>100</v>
      </c>
      <c r="I21" t="s">
        <v>40</v>
      </c>
    </row>
    <row r="22" spans="1:9" x14ac:dyDescent="0.3">
      <c r="A22" t="s">
        <v>15</v>
      </c>
      <c r="B22" t="s">
        <v>10</v>
      </c>
      <c r="C22">
        <v>1</v>
      </c>
      <c r="D22">
        <v>5</v>
      </c>
      <c r="E22">
        <v>5</v>
      </c>
      <c r="F22">
        <v>0</v>
      </c>
      <c r="G22">
        <v>100</v>
      </c>
      <c r="H22">
        <v>0</v>
      </c>
      <c r="I22" t="s">
        <v>193</v>
      </c>
    </row>
    <row r="23" spans="1:9" x14ac:dyDescent="0.3">
      <c r="A23" t="s">
        <v>15</v>
      </c>
      <c r="B23" t="s">
        <v>10</v>
      </c>
      <c r="C23">
        <v>2</v>
      </c>
      <c r="D23">
        <v>5</v>
      </c>
      <c r="E23">
        <v>5</v>
      </c>
      <c r="F23">
        <v>0</v>
      </c>
      <c r="G23">
        <v>100</v>
      </c>
      <c r="H23">
        <v>0</v>
      </c>
      <c r="I23" t="s">
        <v>194</v>
      </c>
    </row>
    <row r="24" spans="1:9" x14ac:dyDescent="0.3">
      <c r="A24" t="s">
        <v>15</v>
      </c>
      <c r="B24" t="s">
        <v>10</v>
      </c>
      <c r="C24">
        <v>3</v>
      </c>
      <c r="D24">
        <v>5</v>
      </c>
      <c r="E24">
        <v>0</v>
      </c>
      <c r="F24">
        <v>5</v>
      </c>
      <c r="G24">
        <v>0</v>
      </c>
      <c r="H24">
        <v>100</v>
      </c>
      <c r="I24" t="s">
        <v>43</v>
      </c>
    </row>
    <row r="25" spans="1:9" x14ac:dyDescent="0.3">
      <c r="A25" t="s">
        <v>15</v>
      </c>
      <c r="B25" t="s">
        <v>10</v>
      </c>
      <c r="C25">
        <v>4</v>
      </c>
      <c r="D25">
        <v>5</v>
      </c>
      <c r="E25">
        <v>4</v>
      </c>
      <c r="F25">
        <v>1</v>
      </c>
      <c r="G25">
        <v>80</v>
      </c>
      <c r="H25">
        <v>20</v>
      </c>
      <c r="I25" t="s">
        <v>195</v>
      </c>
    </row>
    <row r="26" spans="1:9" x14ac:dyDescent="0.3">
      <c r="A26" t="s">
        <v>15</v>
      </c>
      <c r="B26" t="s">
        <v>11</v>
      </c>
      <c r="C26">
        <v>1</v>
      </c>
      <c r="D26">
        <v>5</v>
      </c>
      <c r="E26">
        <v>5</v>
      </c>
      <c r="F26">
        <v>0</v>
      </c>
      <c r="G26">
        <v>100</v>
      </c>
      <c r="H26">
        <v>0</v>
      </c>
      <c r="I26" t="s">
        <v>196</v>
      </c>
    </row>
    <row r="27" spans="1:9" x14ac:dyDescent="0.3">
      <c r="A27" t="s">
        <v>15</v>
      </c>
      <c r="B27" t="s">
        <v>11</v>
      </c>
      <c r="C27">
        <v>2</v>
      </c>
      <c r="D27">
        <v>5</v>
      </c>
      <c r="E27">
        <v>5</v>
      </c>
      <c r="F27">
        <v>0</v>
      </c>
      <c r="G27">
        <v>100</v>
      </c>
      <c r="H27">
        <v>0</v>
      </c>
      <c r="I27" t="s">
        <v>46</v>
      </c>
    </row>
    <row r="28" spans="1:9" x14ac:dyDescent="0.3">
      <c r="A28" t="s">
        <v>15</v>
      </c>
      <c r="B28" t="s">
        <v>11</v>
      </c>
      <c r="C28">
        <v>3</v>
      </c>
      <c r="D28">
        <v>5</v>
      </c>
      <c r="E28">
        <v>0</v>
      </c>
      <c r="F28">
        <v>5</v>
      </c>
      <c r="G28">
        <v>0</v>
      </c>
      <c r="H28">
        <v>100</v>
      </c>
      <c r="I28" t="s">
        <v>47</v>
      </c>
    </row>
    <row r="29" spans="1:9" x14ac:dyDescent="0.3">
      <c r="A29" t="s">
        <v>15</v>
      </c>
      <c r="B29" t="s">
        <v>11</v>
      </c>
      <c r="C29">
        <v>4</v>
      </c>
      <c r="D29">
        <v>5</v>
      </c>
      <c r="E29">
        <v>5</v>
      </c>
      <c r="F29">
        <v>0</v>
      </c>
      <c r="G29">
        <v>100</v>
      </c>
      <c r="H29">
        <v>0</v>
      </c>
      <c r="I29" t="s">
        <v>197</v>
      </c>
    </row>
    <row r="30" spans="1:9" x14ac:dyDescent="0.3">
      <c r="A30" t="s">
        <v>15</v>
      </c>
      <c r="B30" t="s">
        <v>13</v>
      </c>
      <c r="C30">
        <v>1</v>
      </c>
      <c r="D30">
        <v>5</v>
      </c>
      <c r="E30">
        <v>0</v>
      </c>
      <c r="F30">
        <v>5</v>
      </c>
      <c r="G30">
        <v>0</v>
      </c>
      <c r="H30">
        <v>100</v>
      </c>
      <c r="I30" t="s">
        <v>49</v>
      </c>
    </row>
    <row r="31" spans="1:9" x14ac:dyDescent="0.3">
      <c r="A31" t="s">
        <v>15</v>
      </c>
      <c r="B31" t="s">
        <v>13</v>
      </c>
      <c r="C31">
        <v>2</v>
      </c>
      <c r="D31">
        <v>5</v>
      </c>
      <c r="E31">
        <v>3</v>
      </c>
      <c r="F31">
        <v>2</v>
      </c>
      <c r="G31">
        <v>60</v>
      </c>
      <c r="H31">
        <v>40</v>
      </c>
      <c r="I31" t="s">
        <v>198</v>
      </c>
    </row>
    <row r="32" spans="1:9" x14ac:dyDescent="0.3">
      <c r="A32" t="s">
        <v>15</v>
      </c>
      <c r="B32" t="s">
        <v>13</v>
      </c>
      <c r="C32">
        <v>3</v>
      </c>
      <c r="D32">
        <v>5</v>
      </c>
      <c r="E32">
        <v>0</v>
      </c>
      <c r="F32">
        <v>5</v>
      </c>
      <c r="G32">
        <v>0</v>
      </c>
      <c r="H32">
        <v>100</v>
      </c>
      <c r="I32" t="s">
        <v>51</v>
      </c>
    </row>
    <row r="33" spans="1:9" x14ac:dyDescent="0.3">
      <c r="A33" t="s">
        <v>15</v>
      </c>
      <c r="B33" t="s">
        <v>13</v>
      </c>
      <c r="C33">
        <v>4</v>
      </c>
      <c r="D33">
        <v>5</v>
      </c>
      <c r="E33">
        <v>0</v>
      </c>
      <c r="F33">
        <v>5</v>
      </c>
      <c r="G33">
        <v>0</v>
      </c>
      <c r="H33">
        <v>100</v>
      </c>
      <c r="I33" t="s">
        <v>199</v>
      </c>
    </row>
    <row r="34" spans="1:9" x14ac:dyDescent="0.3">
      <c r="A34" t="s">
        <v>15</v>
      </c>
      <c r="B34" t="s">
        <v>14</v>
      </c>
      <c r="C34">
        <v>1</v>
      </c>
      <c r="D34">
        <v>5</v>
      </c>
      <c r="E34">
        <v>5</v>
      </c>
      <c r="F34">
        <v>0</v>
      </c>
      <c r="G34">
        <v>100</v>
      </c>
      <c r="H34">
        <v>0</v>
      </c>
      <c r="I34" t="s">
        <v>200</v>
      </c>
    </row>
    <row r="35" spans="1:9" x14ac:dyDescent="0.3">
      <c r="A35" t="s">
        <v>15</v>
      </c>
      <c r="B35" t="s">
        <v>14</v>
      </c>
      <c r="C35">
        <v>2</v>
      </c>
      <c r="D35">
        <v>5</v>
      </c>
      <c r="E35">
        <v>0</v>
      </c>
      <c r="F35">
        <v>5</v>
      </c>
      <c r="G35">
        <v>0</v>
      </c>
      <c r="H35">
        <v>100</v>
      </c>
      <c r="I35" t="s">
        <v>201</v>
      </c>
    </row>
    <row r="36" spans="1:9" x14ac:dyDescent="0.3">
      <c r="A36" t="s">
        <v>15</v>
      </c>
      <c r="B36" t="s">
        <v>14</v>
      </c>
      <c r="C36">
        <v>3</v>
      </c>
      <c r="D36">
        <v>5</v>
      </c>
      <c r="E36">
        <v>0</v>
      </c>
      <c r="F36">
        <v>5</v>
      </c>
      <c r="G36">
        <v>0</v>
      </c>
      <c r="H36">
        <v>100</v>
      </c>
      <c r="I36" t="s">
        <v>55</v>
      </c>
    </row>
    <row r="37" spans="1:9" x14ac:dyDescent="0.3">
      <c r="A37" t="s">
        <v>15</v>
      </c>
      <c r="B37" t="s">
        <v>14</v>
      </c>
      <c r="C37">
        <v>4</v>
      </c>
      <c r="D37">
        <v>5</v>
      </c>
      <c r="E37">
        <v>1</v>
      </c>
      <c r="F37">
        <v>4</v>
      </c>
      <c r="G37">
        <v>20</v>
      </c>
      <c r="H37">
        <v>80</v>
      </c>
      <c r="I37" t="s">
        <v>202</v>
      </c>
    </row>
    <row r="38" spans="1:9" x14ac:dyDescent="0.3">
      <c r="A38" t="s">
        <v>16</v>
      </c>
      <c r="B38" t="s">
        <v>10</v>
      </c>
      <c r="C38">
        <v>1</v>
      </c>
      <c r="D38">
        <v>5</v>
      </c>
      <c r="E38">
        <v>5</v>
      </c>
      <c r="F38">
        <v>0</v>
      </c>
      <c r="G38">
        <v>100</v>
      </c>
      <c r="H38">
        <v>0</v>
      </c>
      <c r="I38" t="s">
        <v>203</v>
      </c>
    </row>
    <row r="39" spans="1:9" x14ac:dyDescent="0.3">
      <c r="A39" t="s">
        <v>16</v>
      </c>
      <c r="B39" t="s">
        <v>10</v>
      </c>
      <c r="C39">
        <v>2</v>
      </c>
      <c r="D39">
        <v>5</v>
      </c>
      <c r="E39">
        <v>4</v>
      </c>
      <c r="F39">
        <v>1</v>
      </c>
      <c r="G39">
        <v>80</v>
      </c>
      <c r="H39">
        <v>20</v>
      </c>
      <c r="I39" t="s">
        <v>174</v>
      </c>
    </row>
    <row r="40" spans="1:9" x14ac:dyDescent="0.3">
      <c r="A40" t="s">
        <v>16</v>
      </c>
      <c r="B40" t="s">
        <v>10</v>
      </c>
      <c r="C40">
        <v>3</v>
      </c>
      <c r="D40">
        <v>5</v>
      </c>
      <c r="E40">
        <v>3</v>
      </c>
      <c r="F40">
        <v>2</v>
      </c>
      <c r="G40">
        <v>60</v>
      </c>
      <c r="H40">
        <v>40</v>
      </c>
      <c r="I40" t="s">
        <v>204</v>
      </c>
    </row>
    <row r="41" spans="1:9" x14ac:dyDescent="0.3">
      <c r="A41" t="s">
        <v>16</v>
      </c>
      <c r="B41" t="s">
        <v>10</v>
      </c>
      <c r="C41">
        <v>4</v>
      </c>
      <c r="D41">
        <v>5</v>
      </c>
      <c r="E41">
        <v>0</v>
      </c>
      <c r="F41">
        <v>5</v>
      </c>
      <c r="G41">
        <v>0</v>
      </c>
      <c r="H41">
        <v>100</v>
      </c>
      <c r="I41" t="s">
        <v>205</v>
      </c>
    </row>
    <row r="42" spans="1:9" x14ac:dyDescent="0.3">
      <c r="A42" t="s">
        <v>16</v>
      </c>
      <c r="B42" t="s">
        <v>11</v>
      </c>
      <c r="C42">
        <v>1</v>
      </c>
      <c r="D42">
        <v>5</v>
      </c>
      <c r="E42">
        <v>0</v>
      </c>
      <c r="F42">
        <v>5</v>
      </c>
      <c r="G42">
        <v>0</v>
      </c>
      <c r="H42">
        <v>100</v>
      </c>
      <c r="I42" t="s">
        <v>61</v>
      </c>
    </row>
    <row r="43" spans="1:9" x14ac:dyDescent="0.3">
      <c r="A43" t="s">
        <v>16</v>
      </c>
      <c r="B43" t="s">
        <v>11</v>
      </c>
      <c r="C43">
        <v>2</v>
      </c>
      <c r="D43">
        <v>5</v>
      </c>
      <c r="E43">
        <v>0</v>
      </c>
      <c r="F43">
        <v>5</v>
      </c>
      <c r="G43">
        <v>0</v>
      </c>
      <c r="H43">
        <v>100</v>
      </c>
      <c r="I43" t="s">
        <v>62</v>
      </c>
    </row>
    <row r="44" spans="1:9" x14ac:dyDescent="0.3">
      <c r="A44" t="s">
        <v>16</v>
      </c>
      <c r="B44" t="s">
        <v>11</v>
      </c>
      <c r="C44">
        <v>3</v>
      </c>
      <c r="D44">
        <v>5</v>
      </c>
      <c r="E44">
        <v>1</v>
      </c>
      <c r="F44">
        <v>4</v>
      </c>
      <c r="G44">
        <v>20</v>
      </c>
      <c r="H44">
        <v>80</v>
      </c>
      <c r="I44" t="s">
        <v>206</v>
      </c>
    </row>
    <row r="45" spans="1:9" x14ac:dyDescent="0.3">
      <c r="A45" t="s">
        <v>16</v>
      </c>
      <c r="B45" t="s">
        <v>11</v>
      </c>
      <c r="C45">
        <v>4</v>
      </c>
      <c r="D45">
        <v>5</v>
      </c>
      <c r="E45">
        <v>0</v>
      </c>
      <c r="F45">
        <v>5</v>
      </c>
      <c r="G45">
        <v>0</v>
      </c>
      <c r="H45">
        <v>100</v>
      </c>
      <c r="I45" t="s">
        <v>64</v>
      </c>
    </row>
    <row r="46" spans="1:9" x14ac:dyDescent="0.3">
      <c r="A46" t="s">
        <v>16</v>
      </c>
      <c r="B46" t="s">
        <v>13</v>
      </c>
      <c r="C46">
        <v>1</v>
      </c>
      <c r="D46">
        <v>5</v>
      </c>
      <c r="E46">
        <v>5</v>
      </c>
      <c r="F46">
        <v>0</v>
      </c>
      <c r="G46">
        <v>100</v>
      </c>
      <c r="H46">
        <v>0</v>
      </c>
      <c r="I46" t="s">
        <v>65</v>
      </c>
    </row>
    <row r="47" spans="1:9" x14ac:dyDescent="0.3">
      <c r="A47" t="s">
        <v>16</v>
      </c>
      <c r="B47" t="s">
        <v>13</v>
      </c>
      <c r="C47">
        <v>2</v>
      </c>
      <c r="D47">
        <v>5</v>
      </c>
      <c r="E47">
        <v>0</v>
      </c>
      <c r="F47">
        <v>5</v>
      </c>
      <c r="G47">
        <v>0</v>
      </c>
      <c r="H47">
        <v>100</v>
      </c>
      <c r="I47" t="s">
        <v>179</v>
      </c>
    </row>
    <row r="48" spans="1:9" x14ac:dyDescent="0.3">
      <c r="A48" t="s">
        <v>16</v>
      </c>
      <c r="B48" t="s">
        <v>13</v>
      </c>
      <c r="C48">
        <v>3</v>
      </c>
      <c r="D48">
        <v>5</v>
      </c>
      <c r="E48">
        <v>0</v>
      </c>
      <c r="F48">
        <v>5</v>
      </c>
      <c r="G48">
        <v>0</v>
      </c>
      <c r="H48">
        <v>100</v>
      </c>
      <c r="I48" t="s">
        <v>67</v>
      </c>
    </row>
    <row r="49" spans="1:9" x14ac:dyDescent="0.3">
      <c r="A49" t="s">
        <v>16</v>
      </c>
      <c r="B49" t="s">
        <v>13</v>
      </c>
      <c r="C49">
        <v>4</v>
      </c>
      <c r="D49">
        <v>5</v>
      </c>
      <c r="E49">
        <v>3</v>
      </c>
      <c r="F49">
        <v>2</v>
      </c>
      <c r="G49">
        <v>60</v>
      </c>
      <c r="H49">
        <v>40</v>
      </c>
      <c r="I49" t="s">
        <v>207</v>
      </c>
    </row>
    <row r="50" spans="1:9" x14ac:dyDescent="0.3">
      <c r="A50" t="s">
        <v>16</v>
      </c>
      <c r="B50" t="s">
        <v>14</v>
      </c>
      <c r="C50">
        <v>1</v>
      </c>
      <c r="D50">
        <v>5</v>
      </c>
      <c r="E50">
        <v>0</v>
      </c>
      <c r="F50">
        <v>5</v>
      </c>
      <c r="G50">
        <v>0</v>
      </c>
      <c r="H50">
        <v>100</v>
      </c>
      <c r="I50" t="s">
        <v>69</v>
      </c>
    </row>
    <row r="51" spans="1:9" x14ac:dyDescent="0.3">
      <c r="A51" t="s">
        <v>16</v>
      </c>
      <c r="B51" t="s">
        <v>14</v>
      </c>
      <c r="C51">
        <v>2</v>
      </c>
      <c r="D51">
        <v>5</v>
      </c>
      <c r="E51">
        <v>2</v>
      </c>
      <c r="F51">
        <v>3</v>
      </c>
      <c r="G51">
        <v>40</v>
      </c>
      <c r="H51">
        <v>60</v>
      </c>
      <c r="I51" t="s">
        <v>70</v>
      </c>
    </row>
    <row r="52" spans="1:9" x14ac:dyDescent="0.3">
      <c r="A52" t="s">
        <v>16</v>
      </c>
      <c r="B52" t="s">
        <v>14</v>
      </c>
      <c r="C52">
        <v>3</v>
      </c>
      <c r="D52">
        <v>5</v>
      </c>
      <c r="E52">
        <v>0</v>
      </c>
      <c r="F52">
        <v>5</v>
      </c>
      <c r="G52">
        <v>0</v>
      </c>
      <c r="H52">
        <v>100</v>
      </c>
      <c r="I52" t="s">
        <v>208</v>
      </c>
    </row>
    <row r="53" spans="1:9" x14ac:dyDescent="0.3">
      <c r="A53" t="s">
        <v>16</v>
      </c>
      <c r="B53" t="s">
        <v>14</v>
      </c>
      <c r="C53">
        <v>4</v>
      </c>
      <c r="D53">
        <v>5</v>
      </c>
      <c r="E53">
        <v>1</v>
      </c>
      <c r="F53">
        <v>4</v>
      </c>
      <c r="G53">
        <v>20</v>
      </c>
      <c r="H53">
        <v>80</v>
      </c>
      <c r="I53" t="s">
        <v>209</v>
      </c>
    </row>
    <row r="54" spans="1:9" x14ac:dyDescent="0.3">
      <c r="A54" t="s">
        <v>17</v>
      </c>
      <c r="B54" t="s">
        <v>10</v>
      </c>
      <c r="C54">
        <v>1</v>
      </c>
      <c r="D54">
        <v>5</v>
      </c>
      <c r="E54">
        <v>4</v>
      </c>
      <c r="F54">
        <v>1</v>
      </c>
      <c r="G54">
        <v>80</v>
      </c>
      <c r="H54">
        <v>20</v>
      </c>
      <c r="I54" t="s">
        <v>73</v>
      </c>
    </row>
    <row r="55" spans="1:9" x14ac:dyDescent="0.3">
      <c r="A55" t="s">
        <v>17</v>
      </c>
      <c r="B55" t="s">
        <v>10</v>
      </c>
      <c r="C55">
        <v>2</v>
      </c>
      <c r="D55">
        <v>5</v>
      </c>
      <c r="E55">
        <v>0</v>
      </c>
      <c r="F55">
        <v>5</v>
      </c>
      <c r="G55">
        <v>0</v>
      </c>
      <c r="H55">
        <v>100</v>
      </c>
      <c r="I55" t="s">
        <v>74</v>
      </c>
    </row>
    <row r="56" spans="1:9" x14ac:dyDescent="0.3">
      <c r="A56" t="s">
        <v>17</v>
      </c>
      <c r="B56" t="s">
        <v>10</v>
      </c>
      <c r="C56">
        <v>3</v>
      </c>
      <c r="D56">
        <v>5</v>
      </c>
      <c r="E56">
        <v>0</v>
      </c>
      <c r="F56">
        <v>5</v>
      </c>
      <c r="G56">
        <v>0</v>
      </c>
      <c r="H56">
        <v>100</v>
      </c>
      <c r="I56" t="s">
        <v>75</v>
      </c>
    </row>
    <row r="57" spans="1:9" x14ac:dyDescent="0.3">
      <c r="A57" t="s">
        <v>17</v>
      </c>
      <c r="B57" t="s">
        <v>10</v>
      </c>
      <c r="C57">
        <v>4</v>
      </c>
      <c r="D57">
        <v>5</v>
      </c>
      <c r="E57">
        <v>1</v>
      </c>
      <c r="F57">
        <v>4</v>
      </c>
      <c r="G57">
        <v>20</v>
      </c>
      <c r="H57">
        <v>80</v>
      </c>
      <c r="I57" t="s">
        <v>210</v>
      </c>
    </row>
    <row r="58" spans="1:9" x14ac:dyDescent="0.3">
      <c r="A58" t="s">
        <v>17</v>
      </c>
      <c r="B58" t="s">
        <v>11</v>
      </c>
      <c r="C58">
        <v>1</v>
      </c>
      <c r="D58">
        <v>5</v>
      </c>
      <c r="E58">
        <v>2</v>
      </c>
      <c r="F58">
        <v>3</v>
      </c>
      <c r="G58">
        <v>40</v>
      </c>
      <c r="H58">
        <v>60</v>
      </c>
      <c r="I58" t="s">
        <v>211</v>
      </c>
    </row>
    <row r="59" spans="1:9" x14ac:dyDescent="0.3">
      <c r="A59" t="s">
        <v>17</v>
      </c>
      <c r="B59" t="s">
        <v>11</v>
      </c>
      <c r="C59">
        <v>2</v>
      </c>
      <c r="D59">
        <v>5</v>
      </c>
      <c r="E59">
        <v>1</v>
      </c>
      <c r="F59">
        <v>4</v>
      </c>
      <c r="G59">
        <v>20</v>
      </c>
      <c r="H59">
        <v>80</v>
      </c>
      <c r="I59" t="s">
        <v>212</v>
      </c>
    </row>
    <row r="60" spans="1:9" x14ac:dyDescent="0.3">
      <c r="A60" t="s">
        <v>17</v>
      </c>
      <c r="B60" t="s">
        <v>11</v>
      </c>
      <c r="C60">
        <v>3</v>
      </c>
      <c r="D60">
        <v>5</v>
      </c>
      <c r="E60">
        <v>0</v>
      </c>
      <c r="F60">
        <v>5</v>
      </c>
      <c r="G60">
        <v>0</v>
      </c>
      <c r="H60">
        <v>100</v>
      </c>
      <c r="I60" t="s">
        <v>79</v>
      </c>
    </row>
    <row r="61" spans="1:9" x14ac:dyDescent="0.3">
      <c r="A61" t="s">
        <v>17</v>
      </c>
      <c r="B61" t="s">
        <v>11</v>
      </c>
      <c r="C61">
        <v>4</v>
      </c>
      <c r="D61">
        <v>5</v>
      </c>
      <c r="E61">
        <v>1</v>
      </c>
      <c r="F61">
        <v>4</v>
      </c>
      <c r="G61">
        <v>20</v>
      </c>
      <c r="H61">
        <v>80</v>
      </c>
      <c r="I61" t="s">
        <v>213</v>
      </c>
    </row>
    <row r="62" spans="1:9" x14ac:dyDescent="0.3">
      <c r="A62" t="s">
        <v>17</v>
      </c>
      <c r="B62" t="s">
        <v>13</v>
      </c>
      <c r="C62">
        <v>1</v>
      </c>
      <c r="D62">
        <v>5</v>
      </c>
      <c r="E62">
        <v>1</v>
      </c>
      <c r="F62">
        <v>4</v>
      </c>
      <c r="G62">
        <v>20</v>
      </c>
      <c r="H62">
        <v>80</v>
      </c>
      <c r="I62" t="s">
        <v>214</v>
      </c>
    </row>
    <row r="63" spans="1:9" x14ac:dyDescent="0.3">
      <c r="A63" t="s">
        <v>17</v>
      </c>
      <c r="B63" t="s">
        <v>13</v>
      </c>
      <c r="C63">
        <v>2</v>
      </c>
      <c r="D63">
        <v>5</v>
      </c>
      <c r="E63">
        <v>0</v>
      </c>
      <c r="F63">
        <v>5</v>
      </c>
      <c r="G63">
        <v>0</v>
      </c>
      <c r="H63">
        <v>100</v>
      </c>
      <c r="I63" t="s">
        <v>82</v>
      </c>
    </row>
    <row r="64" spans="1:9" x14ac:dyDescent="0.3">
      <c r="A64" t="s">
        <v>17</v>
      </c>
      <c r="B64" t="s">
        <v>13</v>
      </c>
      <c r="C64">
        <v>3</v>
      </c>
      <c r="D64">
        <v>5</v>
      </c>
      <c r="E64">
        <v>0</v>
      </c>
      <c r="F64">
        <v>5</v>
      </c>
      <c r="G64">
        <v>0</v>
      </c>
      <c r="H64">
        <v>100</v>
      </c>
      <c r="I64" t="s">
        <v>83</v>
      </c>
    </row>
    <row r="65" spans="1:9" x14ac:dyDescent="0.3">
      <c r="A65" t="s">
        <v>17</v>
      </c>
      <c r="B65" t="s">
        <v>13</v>
      </c>
      <c r="C65">
        <v>4</v>
      </c>
      <c r="D65">
        <v>5</v>
      </c>
      <c r="E65">
        <v>4</v>
      </c>
      <c r="F65">
        <v>1</v>
      </c>
      <c r="G65">
        <v>80</v>
      </c>
      <c r="H65">
        <v>20</v>
      </c>
      <c r="I65" t="s">
        <v>215</v>
      </c>
    </row>
    <row r="66" spans="1:9" x14ac:dyDescent="0.3">
      <c r="A66" t="s">
        <v>17</v>
      </c>
      <c r="B66" t="s">
        <v>14</v>
      </c>
      <c r="C66">
        <v>1</v>
      </c>
      <c r="D66">
        <v>5</v>
      </c>
      <c r="E66">
        <v>2</v>
      </c>
      <c r="F66">
        <v>3</v>
      </c>
      <c r="G66">
        <v>40</v>
      </c>
      <c r="H66">
        <v>60</v>
      </c>
      <c r="I66" t="s">
        <v>85</v>
      </c>
    </row>
    <row r="67" spans="1:9" x14ac:dyDescent="0.3">
      <c r="A67" t="s">
        <v>17</v>
      </c>
      <c r="B67" t="s">
        <v>14</v>
      </c>
      <c r="C67">
        <v>2</v>
      </c>
      <c r="D67">
        <v>5</v>
      </c>
      <c r="E67">
        <v>1</v>
      </c>
      <c r="F67">
        <v>4</v>
      </c>
      <c r="G67">
        <v>20</v>
      </c>
      <c r="H67">
        <v>80</v>
      </c>
      <c r="I67" t="s">
        <v>86</v>
      </c>
    </row>
    <row r="68" spans="1:9" x14ac:dyDescent="0.3">
      <c r="A68" t="s">
        <v>17</v>
      </c>
      <c r="B68" t="s">
        <v>14</v>
      </c>
      <c r="C68">
        <v>3</v>
      </c>
      <c r="D68">
        <v>5</v>
      </c>
      <c r="E68">
        <v>0</v>
      </c>
      <c r="F68">
        <v>5</v>
      </c>
      <c r="G68">
        <v>0</v>
      </c>
      <c r="H68">
        <v>100</v>
      </c>
      <c r="I68" t="s">
        <v>87</v>
      </c>
    </row>
    <row r="69" spans="1:9" x14ac:dyDescent="0.3">
      <c r="A69" t="s">
        <v>17</v>
      </c>
      <c r="B69" t="s">
        <v>14</v>
      </c>
      <c r="C69">
        <v>4</v>
      </c>
      <c r="D69">
        <v>5</v>
      </c>
      <c r="E69">
        <v>1</v>
      </c>
      <c r="F69">
        <v>4</v>
      </c>
      <c r="G69">
        <v>20</v>
      </c>
      <c r="H69">
        <v>80</v>
      </c>
      <c r="I69" t="s">
        <v>216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293B-0BE1-422A-B2DF-563CA305A2C5}">
  <dimension ref="A1:N53"/>
  <sheetViews>
    <sheetView topLeftCell="A29" workbookViewId="0">
      <selection activeCell="H52" sqref="H52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  <col min="14" max="14" width="5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8</v>
      </c>
    </row>
    <row r="2" spans="1:14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3</v>
      </c>
      <c r="J2">
        <v>2</v>
      </c>
      <c r="K2">
        <v>60</v>
      </c>
      <c r="L2">
        <v>40</v>
      </c>
      <c r="M2">
        <v>60</v>
      </c>
      <c r="N2" t="s">
        <v>105</v>
      </c>
    </row>
    <row r="3" spans="1:14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0</v>
      </c>
      <c r="J3">
        <v>5</v>
      </c>
      <c r="K3">
        <v>0</v>
      </c>
      <c r="L3">
        <v>100</v>
      </c>
      <c r="M3">
        <v>0</v>
      </c>
      <c r="N3" t="s">
        <v>107</v>
      </c>
    </row>
    <row r="4" spans="1:14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0</v>
      </c>
      <c r="J4">
        <v>5</v>
      </c>
      <c r="K4">
        <v>0</v>
      </c>
      <c r="L4">
        <v>100</v>
      </c>
      <c r="M4">
        <v>0</v>
      </c>
      <c r="N4" t="s">
        <v>109</v>
      </c>
    </row>
    <row r="5" spans="1:14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5</v>
      </c>
      <c r="J5">
        <v>0</v>
      </c>
      <c r="K5">
        <v>100</v>
      </c>
      <c r="L5">
        <v>0</v>
      </c>
      <c r="M5">
        <v>100</v>
      </c>
      <c r="N5" t="s">
        <v>111</v>
      </c>
    </row>
    <row r="6" spans="1:14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2</v>
      </c>
      <c r="J6">
        <v>3</v>
      </c>
      <c r="K6">
        <v>40</v>
      </c>
      <c r="L6">
        <v>60</v>
      </c>
      <c r="M6">
        <v>40</v>
      </c>
      <c r="N6" t="s">
        <v>113</v>
      </c>
    </row>
    <row r="7" spans="1:14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4</v>
      </c>
      <c r="J7">
        <v>1</v>
      </c>
      <c r="K7">
        <v>80</v>
      </c>
      <c r="L7">
        <v>20</v>
      </c>
      <c r="M7">
        <v>80</v>
      </c>
      <c r="N7" t="s">
        <v>114</v>
      </c>
    </row>
    <row r="8" spans="1:14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1</v>
      </c>
      <c r="J8">
        <v>4</v>
      </c>
      <c r="K8">
        <v>20</v>
      </c>
      <c r="L8">
        <v>80</v>
      </c>
      <c r="M8">
        <v>20</v>
      </c>
      <c r="N8" t="s">
        <v>115</v>
      </c>
    </row>
    <row r="9" spans="1:14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0</v>
      </c>
      <c r="J9">
        <v>5</v>
      </c>
      <c r="K9">
        <v>0</v>
      </c>
      <c r="L9">
        <v>100</v>
      </c>
      <c r="M9">
        <v>0</v>
      </c>
      <c r="N9" t="s">
        <v>116</v>
      </c>
    </row>
    <row r="10" spans="1:14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5</v>
      </c>
      <c r="J10">
        <v>0</v>
      </c>
      <c r="K10">
        <v>100</v>
      </c>
      <c r="L10">
        <v>0</v>
      </c>
      <c r="M10">
        <v>100</v>
      </c>
      <c r="N10" t="s">
        <v>117</v>
      </c>
    </row>
    <row r="11" spans="1:14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3</v>
      </c>
      <c r="J11">
        <v>2</v>
      </c>
      <c r="K11">
        <v>60</v>
      </c>
      <c r="L11">
        <v>40</v>
      </c>
      <c r="M11">
        <v>60</v>
      </c>
      <c r="N11" t="s">
        <v>118</v>
      </c>
    </row>
    <row r="12" spans="1:14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0</v>
      </c>
      <c r="J12">
        <v>5</v>
      </c>
      <c r="K12">
        <v>0</v>
      </c>
      <c r="L12">
        <v>100</v>
      </c>
      <c r="M12">
        <v>0</v>
      </c>
      <c r="N12" t="s">
        <v>119</v>
      </c>
    </row>
    <row r="13" spans="1:14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5</v>
      </c>
      <c r="J13">
        <v>0</v>
      </c>
      <c r="K13">
        <v>100</v>
      </c>
      <c r="L13">
        <v>0</v>
      </c>
      <c r="M13">
        <v>100</v>
      </c>
      <c r="N13" t="s">
        <v>120</v>
      </c>
    </row>
    <row r="14" spans="1:14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5</v>
      </c>
      <c r="J14">
        <v>0</v>
      </c>
      <c r="K14">
        <v>100</v>
      </c>
      <c r="L14">
        <v>0</v>
      </c>
      <c r="M14">
        <v>100</v>
      </c>
      <c r="N14" t="s">
        <v>121</v>
      </c>
    </row>
    <row r="15" spans="1:14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0</v>
      </c>
      <c r="J15">
        <v>5</v>
      </c>
      <c r="K15">
        <v>0</v>
      </c>
      <c r="L15">
        <v>100</v>
      </c>
      <c r="M15">
        <v>0</v>
      </c>
      <c r="N15" t="s">
        <v>122</v>
      </c>
    </row>
    <row r="16" spans="1:14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  <c r="N16" t="s">
        <v>123</v>
      </c>
    </row>
    <row r="17" spans="1:14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3</v>
      </c>
      <c r="J17">
        <v>2</v>
      </c>
      <c r="K17">
        <v>60</v>
      </c>
      <c r="L17">
        <v>40</v>
      </c>
      <c r="M17">
        <v>60</v>
      </c>
      <c r="N17" t="s">
        <v>124</v>
      </c>
    </row>
    <row r="18" spans="1:14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0</v>
      </c>
      <c r="J18">
        <v>5</v>
      </c>
      <c r="K18">
        <v>0</v>
      </c>
      <c r="L18">
        <v>100</v>
      </c>
      <c r="M18">
        <v>0</v>
      </c>
      <c r="N18" t="s">
        <v>125</v>
      </c>
    </row>
    <row r="19" spans="1:14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0</v>
      </c>
      <c r="J19">
        <v>5</v>
      </c>
      <c r="K19">
        <v>0</v>
      </c>
      <c r="L19">
        <v>100</v>
      </c>
      <c r="M19">
        <v>0</v>
      </c>
      <c r="N19" t="s">
        <v>126</v>
      </c>
    </row>
    <row r="20" spans="1:14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4</v>
      </c>
      <c r="J20">
        <v>1</v>
      </c>
      <c r="K20">
        <v>80</v>
      </c>
      <c r="L20">
        <v>20</v>
      </c>
      <c r="M20">
        <v>80</v>
      </c>
      <c r="N20" t="s">
        <v>127</v>
      </c>
    </row>
    <row r="21" spans="1:14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1</v>
      </c>
      <c r="J21">
        <v>4</v>
      </c>
      <c r="K21">
        <v>20</v>
      </c>
      <c r="L21">
        <v>80</v>
      </c>
      <c r="M21">
        <v>20</v>
      </c>
      <c r="N21" t="s">
        <v>128</v>
      </c>
    </row>
    <row r="22" spans="1:14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0</v>
      </c>
      <c r="J22">
        <v>5</v>
      </c>
      <c r="K22">
        <v>0</v>
      </c>
      <c r="L22">
        <v>100</v>
      </c>
      <c r="M22">
        <v>0</v>
      </c>
      <c r="N22" t="s">
        <v>129</v>
      </c>
    </row>
    <row r="23" spans="1:14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1</v>
      </c>
      <c r="J23">
        <v>4</v>
      </c>
      <c r="K23">
        <v>20</v>
      </c>
      <c r="L23">
        <v>80</v>
      </c>
      <c r="M23">
        <v>20</v>
      </c>
      <c r="N23" t="s">
        <v>130</v>
      </c>
    </row>
    <row r="24" spans="1:14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1</v>
      </c>
      <c r="J24">
        <v>4</v>
      </c>
      <c r="K24">
        <v>20</v>
      </c>
      <c r="L24">
        <v>80</v>
      </c>
      <c r="M24">
        <v>20</v>
      </c>
      <c r="N24" t="s">
        <v>131</v>
      </c>
    </row>
    <row r="25" spans="1:14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5</v>
      </c>
      <c r="J25">
        <v>0</v>
      </c>
      <c r="K25">
        <v>100</v>
      </c>
      <c r="L25">
        <v>0</v>
      </c>
      <c r="M25">
        <v>100</v>
      </c>
      <c r="N25" t="s">
        <v>132</v>
      </c>
    </row>
    <row r="26" spans="1:14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1</v>
      </c>
      <c r="J26">
        <v>4</v>
      </c>
      <c r="K26">
        <v>20</v>
      </c>
      <c r="L26">
        <v>80</v>
      </c>
      <c r="M26">
        <v>20</v>
      </c>
      <c r="N26" t="s">
        <v>133</v>
      </c>
    </row>
    <row r="27" spans="1:14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1</v>
      </c>
      <c r="J27">
        <v>4</v>
      </c>
      <c r="K27">
        <v>20</v>
      </c>
      <c r="L27">
        <v>80</v>
      </c>
      <c r="M27">
        <v>20</v>
      </c>
      <c r="N27" t="s">
        <v>134</v>
      </c>
    </row>
    <row r="28" spans="1:14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2</v>
      </c>
      <c r="J28">
        <v>3</v>
      </c>
      <c r="K28">
        <v>40</v>
      </c>
      <c r="L28">
        <v>60</v>
      </c>
      <c r="M28">
        <v>40</v>
      </c>
      <c r="N28" t="s">
        <v>135</v>
      </c>
    </row>
    <row r="29" spans="1:14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  <c r="N29" t="s">
        <v>136</v>
      </c>
    </row>
    <row r="30" spans="1:14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3</v>
      </c>
      <c r="J30">
        <v>2</v>
      </c>
      <c r="K30">
        <v>60</v>
      </c>
      <c r="L30">
        <v>40</v>
      </c>
      <c r="M30">
        <v>60</v>
      </c>
      <c r="N30" t="s">
        <v>137</v>
      </c>
    </row>
    <row r="31" spans="1:14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2</v>
      </c>
      <c r="J31">
        <v>3</v>
      </c>
      <c r="K31">
        <v>40</v>
      </c>
      <c r="L31">
        <v>60</v>
      </c>
      <c r="M31">
        <v>40</v>
      </c>
      <c r="N31" t="s">
        <v>138</v>
      </c>
    </row>
    <row r="32" spans="1:14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0</v>
      </c>
      <c r="J32">
        <v>5</v>
      </c>
      <c r="K32">
        <v>0</v>
      </c>
      <c r="L32">
        <v>100</v>
      </c>
      <c r="M32">
        <v>0</v>
      </c>
      <c r="N32" t="s">
        <v>139</v>
      </c>
    </row>
    <row r="33" spans="1:14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  <c r="N33" t="s">
        <v>140</v>
      </c>
    </row>
    <row r="34" spans="1:14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4</v>
      </c>
      <c r="J34">
        <v>1</v>
      </c>
      <c r="K34">
        <v>80</v>
      </c>
      <c r="L34">
        <v>20</v>
      </c>
      <c r="M34">
        <v>80</v>
      </c>
      <c r="N34" t="s">
        <v>141</v>
      </c>
    </row>
    <row r="35" spans="1:14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0</v>
      </c>
      <c r="J35">
        <v>5</v>
      </c>
      <c r="K35">
        <v>0</v>
      </c>
      <c r="L35">
        <v>100</v>
      </c>
      <c r="M35">
        <v>0</v>
      </c>
      <c r="N35" t="s">
        <v>142</v>
      </c>
    </row>
    <row r="36" spans="1:14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5</v>
      </c>
      <c r="J36">
        <v>0</v>
      </c>
      <c r="K36">
        <v>100</v>
      </c>
      <c r="L36">
        <v>0</v>
      </c>
      <c r="M36">
        <v>100</v>
      </c>
      <c r="N36" t="s">
        <v>143</v>
      </c>
    </row>
    <row r="37" spans="1:14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2</v>
      </c>
      <c r="J37">
        <v>3</v>
      </c>
      <c r="K37">
        <v>40</v>
      </c>
      <c r="L37">
        <v>60</v>
      </c>
      <c r="M37">
        <v>40</v>
      </c>
      <c r="N37" t="s">
        <v>144</v>
      </c>
    </row>
    <row r="38" spans="1:14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0</v>
      </c>
      <c r="J38">
        <v>5</v>
      </c>
      <c r="K38">
        <v>0</v>
      </c>
      <c r="L38">
        <v>100</v>
      </c>
      <c r="M38">
        <v>0</v>
      </c>
      <c r="N38" t="s">
        <v>145</v>
      </c>
    </row>
    <row r="39" spans="1:14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0</v>
      </c>
      <c r="J39">
        <v>5</v>
      </c>
      <c r="K39">
        <v>0</v>
      </c>
      <c r="L39">
        <v>100</v>
      </c>
      <c r="M39">
        <v>0</v>
      </c>
      <c r="N39" t="s">
        <v>146</v>
      </c>
    </row>
    <row r="40" spans="1:14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5</v>
      </c>
      <c r="J40">
        <v>0</v>
      </c>
      <c r="K40">
        <v>100</v>
      </c>
      <c r="L40">
        <v>0</v>
      </c>
      <c r="M40">
        <v>100</v>
      </c>
      <c r="N40" t="s">
        <v>147</v>
      </c>
    </row>
    <row r="41" spans="1:14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0</v>
      </c>
      <c r="J41">
        <v>5</v>
      </c>
      <c r="K41">
        <v>0</v>
      </c>
      <c r="L41">
        <v>100</v>
      </c>
      <c r="M41">
        <v>0</v>
      </c>
      <c r="N41" t="s">
        <v>148</v>
      </c>
    </row>
    <row r="42" spans="1:14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0</v>
      </c>
      <c r="J42">
        <v>5</v>
      </c>
      <c r="K42">
        <v>0</v>
      </c>
      <c r="L42">
        <v>100</v>
      </c>
      <c r="M42">
        <v>0</v>
      </c>
      <c r="N42" t="s">
        <v>149</v>
      </c>
    </row>
    <row r="43" spans="1:14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0</v>
      </c>
      <c r="J43">
        <v>5</v>
      </c>
      <c r="K43">
        <v>0</v>
      </c>
      <c r="L43">
        <v>100</v>
      </c>
      <c r="M43">
        <v>0</v>
      </c>
      <c r="N43" t="s">
        <v>150</v>
      </c>
    </row>
    <row r="44" spans="1:14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5</v>
      </c>
      <c r="J44">
        <v>0</v>
      </c>
      <c r="K44">
        <v>100</v>
      </c>
      <c r="L44">
        <v>0</v>
      </c>
      <c r="M44">
        <v>100</v>
      </c>
      <c r="N44" t="s">
        <v>151</v>
      </c>
    </row>
    <row r="45" spans="1:14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5</v>
      </c>
      <c r="J45">
        <v>0</v>
      </c>
      <c r="K45">
        <v>100</v>
      </c>
      <c r="L45">
        <v>0</v>
      </c>
      <c r="M45">
        <v>100</v>
      </c>
      <c r="N45" t="s">
        <v>152</v>
      </c>
    </row>
    <row r="46" spans="1:14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4</v>
      </c>
      <c r="J46">
        <v>1</v>
      </c>
      <c r="K46">
        <v>80</v>
      </c>
      <c r="L46">
        <v>20</v>
      </c>
      <c r="M46">
        <v>80</v>
      </c>
      <c r="N46" t="s">
        <v>153</v>
      </c>
    </row>
    <row r="47" spans="1:14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4</v>
      </c>
      <c r="J47">
        <v>1</v>
      </c>
      <c r="K47">
        <v>80</v>
      </c>
      <c r="L47">
        <v>20</v>
      </c>
      <c r="M47">
        <v>80</v>
      </c>
      <c r="N47" t="s">
        <v>154</v>
      </c>
    </row>
    <row r="48" spans="1:14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2</v>
      </c>
      <c r="J48">
        <v>3</v>
      </c>
      <c r="K48">
        <v>40</v>
      </c>
      <c r="L48">
        <v>60</v>
      </c>
      <c r="M48">
        <v>40</v>
      </c>
      <c r="N48" t="s">
        <v>155</v>
      </c>
    </row>
    <row r="49" spans="1:14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  <c r="N49" t="s">
        <v>156</v>
      </c>
    </row>
    <row r="50" spans="1:14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1</v>
      </c>
      <c r="J50">
        <v>4</v>
      </c>
      <c r="K50">
        <v>20</v>
      </c>
      <c r="L50">
        <v>80</v>
      </c>
      <c r="M50">
        <v>20</v>
      </c>
      <c r="N50" t="s">
        <v>157</v>
      </c>
    </row>
    <row r="51" spans="1:14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1</v>
      </c>
      <c r="J51">
        <v>4</v>
      </c>
      <c r="K51">
        <v>20</v>
      </c>
      <c r="L51">
        <v>80</v>
      </c>
      <c r="M51">
        <v>20</v>
      </c>
      <c r="N51" t="s">
        <v>158</v>
      </c>
    </row>
    <row r="52" spans="1:14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5</v>
      </c>
      <c r="J52">
        <v>0</v>
      </c>
      <c r="K52">
        <v>100</v>
      </c>
      <c r="L52">
        <v>0</v>
      </c>
      <c r="M52">
        <v>100</v>
      </c>
      <c r="N52" t="s">
        <v>159</v>
      </c>
    </row>
    <row r="53" spans="1:14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2</v>
      </c>
      <c r="J53">
        <v>3</v>
      </c>
      <c r="K53">
        <v>40</v>
      </c>
      <c r="L53">
        <v>60</v>
      </c>
      <c r="M53">
        <v>40</v>
      </c>
      <c r="N53" t="s">
        <v>160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B755-CC82-4FE9-A51D-B30FAF88C018}">
  <dimension ref="A1:I69"/>
  <sheetViews>
    <sheetView topLeftCell="A44" workbookViewId="0">
      <selection activeCell="K6" sqref="K6"/>
    </sheetView>
  </sheetViews>
  <sheetFormatPr defaultRowHeight="14.4" x14ac:dyDescent="0.3"/>
  <cols>
    <col min="2" max="2" width="10" customWidth="1"/>
    <col min="3" max="3" width="11.88671875" customWidth="1"/>
    <col min="4" max="4" width="11.109375" customWidth="1"/>
    <col min="5" max="5" width="14.33203125" customWidth="1"/>
    <col min="6" max="6" width="15.5546875" customWidth="1"/>
    <col min="7" max="7" width="21.33203125" customWidth="1"/>
    <col min="8" max="8" width="22.5546875" customWidth="1"/>
    <col min="9" max="9" width="4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5</v>
      </c>
      <c r="E2">
        <v>0</v>
      </c>
      <c r="F2">
        <v>5</v>
      </c>
      <c r="G2">
        <v>0</v>
      </c>
      <c r="H2">
        <v>100</v>
      </c>
      <c r="I2" t="s">
        <v>21</v>
      </c>
    </row>
    <row r="3" spans="1:9" x14ac:dyDescent="0.3">
      <c r="A3" t="s">
        <v>9</v>
      </c>
      <c r="B3" t="s">
        <v>10</v>
      </c>
      <c r="C3">
        <v>2</v>
      </c>
      <c r="D3">
        <v>5</v>
      </c>
      <c r="E3">
        <v>0</v>
      </c>
      <c r="F3">
        <v>5</v>
      </c>
      <c r="G3">
        <v>0</v>
      </c>
      <c r="H3">
        <v>100</v>
      </c>
      <c r="I3" t="s">
        <v>22</v>
      </c>
    </row>
    <row r="4" spans="1:9" x14ac:dyDescent="0.3">
      <c r="A4" t="s">
        <v>9</v>
      </c>
      <c r="B4" t="s">
        <v>10</v>
      </c>
      <c r="C4">
        <v>3</v>
      </c>
      <c r="D4">
        <v>5</v>
      </c>
      <c r="E4">
        <v>0</v>
      </c>
      <c r="F4">
        <v>5</v>
      </c>
      <c r="G4">
        <v>0</v>
      </c>
      <c r="H4">
        <v>100</v>
      </c>
      <c r="I4" t="s">
        <v>23</v>
      </c>
    </row>
    <row r="5" spans="1:9" x14ac:dyDescent="0.3">
      <c r="A5" t="s">
        <v>9</v>
      </c>
      <c r="B5" t="s">
        <v>10</v>
      </c>
      <c r="C5">
        <v>4</v>
      </c>
      <c r="D5">
        <v>5</v>
      </c>
      <c r="E5">
        <v>0</v>
      </c>
      <c r="F5">
        <v>5</v>
      </c>
      <c r="G5">
        <v>0</v>
      </c>
      <c r="H5">
        <v>100</v>
      </c>
      <c r="I5" t="s">
        <v>24</v>
      </c>
    </row>
    <row r="6" spans="1:9" x14ac:dyDescent="0.3">
      <c r="A6" t="s">
        <v>9</v>
      </c>
      <c r="B6" t="s">
        <v>11</v>
      </c>
      <c r="C6">
        <v>1</v>
      </c>
      <c r="D6">
        <v>5</v>
      </c>
      <c r="E6">
        <v>4</v>
      </c>
      <c r="F6">
        <v>1</v>
      </c>
      <c r="G6">
        <v>80</v>
      </c>
      <c r="H6">
        <v>20</v>
      </c>
      <c r="I6" t="s">
        <v>163</v>
      </c>
    </row>
    <row r="7" spans="1:9" x14ac:dyDescent="0.3">
      <c r="A7" t="s">
        <v>9</v>
      </c>
      <c r="B7" t="s">
        <v>11</v>
      </c>
      <c r="C7">
        <v>2</v>
      </c>
      <c r="D7">
        <v>5</v>
      </c>
      <c r="E7">
        <v>0</v>
      </c>
      <c r="F7">
        <v>5</v>
      </c>
      <c r="G7">
        <v>0</v>
      </c>
      <c r="H7">
        <v>100</v>
      </c>
      <c r="I7" t="s">
        <v>164</v>
      </c>
    </row>
    <row r="8" spans="1:9" x14ac:dyDescent="0.3">
      <c r="A8" t="s">
        <v>9</v>
      </c>
      <c r="B8" t="s">
        <v>11</v>
      </c>
      <c r="C8">
        <v>3</v>
      </c>
      <c r="D8">
        <v>5</v>
      </c>
      <c r="E8">
        <v>0</v>
      </c>
      <c r="F8">
        <v>5</v>
      </c>
      <c r="G8">
        <v>0</v>
      </c>
      <c r="H8">
        <v>100</v>
      </c>
      <c r="I8" t="s">
        <v>27</v>
      </c>
    </row>
    <row r="9" spans="1:9" x14ac:dyDescent="0.3">
      <c r="A9" t="s">
        <v>9</v>
      </c>
      <c r="B9" t="s">
        <v>11</v>
      </c>
      <c r="C9">
        <v>4</v>
      </c>
      <c r="D9">
        <v>5</v>
      </c>
      <c r="E9">
        <v>3</v>
      </c>
      <c r="F9">
        <v>2</v>
      </c>
      <c r="G9">
        <v>60</v>
      </c>
      <c r="H9">
        <v>40</v>
      </c>
      <c r="I9" t="s">
        <v>165</v>
      </c>
    </row>
    <row r="10" spans="1:9" x14ac:dyDescent="0.3">
      <c r="A10" t="s">
        <v>9</v>
      </c>
      <c r="B10" t="s">
        <v>12</v>
      </c>
      <c r="C10">
        <v>1</v>
      </c>
      <c r="D10">
        <v>5</v>
      </c>
      <c r="E10">
        <v>0</v>
      </c>
      <c r="F10">
        <v>5</v>
      </c>
      <c r="G10">
        <v>0</v>
      </c>
      <c r="H10">
        <v>100</v>
      </c>
      <c r="I10" t="s">
        <v>166</v>
      </c>
    </row>
    <row r="11" spans="1:9" x14ac:dyDescent="0.3">
      <c r="A11" t="s">
        <v>9</v>
      </c>
      <c r="B11" t="s">
        <v>12</v>
      </c>
      <c r="C11">
        <v>2</v>
      </c>
      <c r="D11">
        <v>5</v>
      </c>
      <c r="E11">
        <v>5</v>
      </c>
      <c r="F11">
        <v>0</v>
      </c>
      <c r="G11">
        <v>100</v>
      </c>
      <c r="H11">
        <v>0</v>
      </c>
      <c r="I11" t="s">
        <v>30</v>
      </c>
    </row>
    <row r="12" spans="1:9" x14ac:dyDescent="0.3">
      <c r="A12" t="s">
        <v>9</v>
      </c>
      <c r="B12" t="s">
        <v>12</v>
      </c>
      <c r="C12">
        <v>3</v>
      </c>
      <c r="D12">
        <v>5</v>
      </c>
      <c r="E12">
        <v>1</v>
      </c>
      <c r="F12">
        <v>4</v>
      </c>
      <c r="G12">
        <v>20</v>
      </c>
      <c r="H12">
        <v>80</v>
      </c>
      <c r="I12" t="s">
        <v>167</v>
      </c>
    </row>
    <row r="13" spans="1:9" x14ac:dyDescent="0.3">
      <c r="A13" t="s">
        <v>9</v>
      </c>
      <c r="B13" t="s">
        <v>12</v>
      </c>
      <c r="C13">
        <v>4</v>
      </c>
      <c r="D13">
        <v>5</v>
      </c>
      <c r="E13">
        <v>1</v>
      </c>
      <c r="F13">
        <v>4</v>
      </c>
      <c r="G13">
        <v>20</v>
      </c>
      <c r="H13">
        <v>80</v>
      </c>
      <c r="I13" t="s">
        <v>32</v>
      </c>
    </row>
    <row r="14" spans="1:9" x14ac:dyDescent="0.3">
      <c r="A14" t="s">
        <v>9</v>
      </c>
      <c r="B14" t="s">
        <v>13</v>
      </c>
      <c r="C14">
        <v>1</v>
      </c>
      <c r="D14">
        <v>5</v>
      </c>
      <c r="E14">
        <v>0</v>
      </c>
      <c r="F14">
        <v>5</v>
      </c>
      <c r="G14">
        <v>0</v>
      </c>
      <c r="H14">
        <v>100</v>
      </c>
      <c r="I14" t="s">
        <v>33</v>
      </c>
    </row>
    <row r="15" spans="1:9" x14ac:dyDescent="0.3">
      <c r="A15" t="s">
        <v>9</v>
      </c>
      <c r="B15" t="s">
        <v>13</v>
      </c>
      <c r="C15">
        <v>2</v>
      </c>
      <c r="D15">
        <v>5</v>
      </c>
      <c r="E15">
        <v>0</v>
      </c>
      <c r="F15">
        <v>5</v>
      </c>
      <c r="G15">
        <v>0</v>
      </c>
      <c r="H15">
        <v>100</v>
      </c>
      <c r="I15" t="s">
        <v>34</v>
      </c>
    </row>
    <row r="16" spans="1:9" x14ac:dyDescent="0.3">
      <c r="A16" t="s">
        <v>9</v>
      </c>
      <c r="B16" t="s">
        <v>13</v>
      </c>
      <c r="C16">
        <v>3</v>
      </c>
      <c r="D16">
        <v>5</v>
      </c>
      <c r="E16">
        <v>0</v>
      </c>
      <c r="F16">
        <v>5</v>
      </c>
      <c r="G16">
        <v>0</v>
      </c>
      <c r="H16">
        <v>100</v>
      </c>
      <c r="I16" t="s">
        <v>35</v>
      </c>
    </row>
    <row r="17" spans="1:9" x14ac:dyDescent="0.3">
      <c r="A17" t="s">
        <v>9</v>
      </c>
      <c r="B17" t="s">
        <v>13</v>
      </c>
      <c r="C17">
        <v>4</v>
      </c>
      <c r="D17">
        <v>5</v>
      </c>
      <c r="E17">
        <v>5</v>
      </c>
      <c r="F17">
        <v>0</v>
      </c>
      <c r="G17">
        <v>100</v>
      </c>
      <c r="H17">
        <v>0</v>
      </c>
      <c r="I17" t="s">
        <v>168</v>
      </c>
    </row>
    <row r="18" spans="1:9" x14ac:dyDescent="0.3">
      <c r="A18" t="s">
        <v>9</v>
      </c>
      <c r="B18" t="s">
        <v>14</v>
      </c>
      <c r="C18">
        <v>1</v>
      </c>
      <c r="D18">
        <v>5</v>
      </c>
      <c r="E18">
        <v>0</v>
      </c>
      <c r="F18">
        <v>5</v>
      </c>
      <c r="G18">
        <v>0</v>
      </c>
      <c r="H18">
        <v>100</v>
      </c>
      <c r="I18" t="s">
        <v>37</v>
      </c>
    </row>
    <row r="19" spans="1:9" x14ac:dyDescent="0.3">
      <c r="A19" t="s">
        <v>9</v>
      </c>
      <c r="B19" t="s">
        <v>14</v>
      </c>
      <c r="C19">
        <v>2</v>
      </c>
      <c r="D19">
        <v>5</v>
      </c>
      <c r="E19">
        <v>0</v>
      </c>
      <c r="F19">
        <v>5</v>
      </c>
      <c r="G19">
        <v>0</v>
      </c>
      <c r="H19">
        <v>100</v>
      </c>
      <c r="I19" t="s">
        <v>38</v>
      </c>
    </row>
    <row r="20" spans="1:9" x14ac:dyDescent="0.3">
      <c r="A20" t="s">
        <v>9</v>
      </c>
      <c r="B20" t="s">
        <v>14</v>
      </c>
      <c r="C20">
        <v>3</v>
      </c>
      <c r="D20">
        <v>5</v>
      </c>
      <c r="E20">
        <v>0</v>
      </c>
      <c r="F20">
        <v>5</v>
      </c>
      <c r="G20">
        <v>0</v>
      </c>
      <c r="H20">
        <v>100</v>
      </c>
      <c r="I20" t="s">
        <v>39</v>
      </c>
    </row>
    <row r="21" spans="1:9" x14ac:dyDescent="0.3">
      <c r="A21" t="s">
        <v>9</v>
      </c>
      <c r="B21" t="s">
        <v>14</v>
      </c>
      <c r="C21">
        <v>4</v>
      </c>
      <c r="D21">
        <v>5</v>
      </c>
      <c r="E21">
        <v>0</v>
      </c>
      <c r="F21">
        <v>5</v>
      </c>
      <c r="G21">
        <v>0</v>
      </c>
      <c r="H21">
        <v>100</v>
      </c>
      <c r="I21" t="s">
        <v>40</v>
      </c>
    </row>
    <row r="22" spans="1:9" x14ac:dyDescent="0.3">
      <c r="A22" t="s">
        <v>15</v>
      </c>
      <c r="B22" t="s">
        <v>10</v>
      </c>
      <c r="C22">
        <v>1</v>
      </c>
      <c r="D22">
        <v>5</v>
      </c>
      <c r="E22">
        <v>2</v>
      </c>
      <c r="F22">
        <v>3</v>
      </c>
      <c r="G22">
        <v>40</v>
      </c>
      <c r="H22">
        <v>60</v>
      </c>
      <c r="I22" t="s">
        <v>169</v>
      </c>
    </row>
    <row r="23" spans="1:9" x14ac:dyDescent="0.3">
      <c r="A23" t="s">
        <v>15</v>
      </c>
      <c r="B23" t="s">
        <v>10</v>
      </c>
      <c r="C23">
        <v>2</v>
      </c>
      <c r="D23">
        <v>5</v>
      </c>
      <c r="E23">
        <v>0</v>
      </c>
      <c r="F23">
        <v>5</v>
      </c>
      <c r="G23">
        <v>0</v>
      </c>
      <c r="H23">
        <v>100</v>
      </c>
      <c r="I23" t="s">
        <v>42</v>
      </c>
    </row>
    <row r="24" spans="1:9" x14ac:dyDescent="0.3">
      <c r="A24" t="s">
        <v>15</v>
      </c>
      <c r="B24" t="s">
        <v>10</v>
      </c>
      <c r="C24">
        <v>3</v>
      </c>
      <c r="D24">
        <v>5</v>
      </c>
      <c r="E24">
        <v>0</v>
      </c>
      <c r="F24">
        <v>5</v>
      </c>
      <c r="G24">
        <v>0</v>
      </c>
      <c r="H24">
        <v>100</v>
      </c>
      <c r="I24" t="s">
        <v>43</v>
      </c>
    </row>
    <row r="25" spans="1:9" x14ac:dyDescent="0.3">
      <c r="A25" t="s">
        <v>15</v>
      </c>
      <c r="B25" t="s">
        <v>10</v>
      </c>
      <c r="C25">
        <v>4</v>
      </c>
      <c r="D25">
        <v>5</v>
      </c>
      <c r="E25">
        <v>5</v>
      </c>
      <c r="F25">
        <v>0</v>
      </c>
      <c r="G25">
        <v>100</v>
      </c>
      <c r="H25">
        <v>0</v>
      </c>
      <c r="I25" t="s">
        <v>44</v>
      </c>
    </row>
    <row r="26" spans="1:9" x14ac:dyDescent="0.3">
      <c r="A26" t="s">
        <v>15</v>
      </c>
      <c r="B26" t="s">
        <v>11</v>
      </c>
      <c r="C26">
        <v>1</v>
      </c>
      <c r="D26">
        <v>5</v>
      </c>
      <c r="E26">
        <v>3</v>
      </c>
      <c r="F26">
        <v>2</v>
      </c>
      <c r="G26">
        <v>60</v>
      </c>
      <c r="H26">
        <v>40</v>
      </c>
      <c r="I26" t="s">
        <v>45</v>
      </c>
    </row>
    <row r="27" spans="1:9" x14ac:dyDescent="0.3">
      <c r="A27" t="s">
        <v>15</v>
      </c>
      <c r="B27" t="s">
        <v>11</v>
      </c>
      <c r="C27">
        <v>2</v>
      </c>
      <c r="D27">
        <v>5</v>
      </c>
      <c r="E27">
        <v>1</v>
      </c>
      <c r="F27">
        <v>4</v>
      </c>
      <c r="G27">
        <v>20</v>
      </c>
      <c r="H27">
        <v>80</v>
      </c>
      <c r="I27" t="s">
        <v>170</v>
      </c>
    </row>
    <row r="28" spans="1:9" x14ac:dyDescent="0.3">
      <c r="A28" t="s">
        <v>15</v>
      </c>
      <c r="B28" t="s">
        <v>11</v>
      </c>
      <c r="C28">
        <v>3</v>
      </c>
      <c r="D28">
        <v>5</v>
      </c>
      <c r="E28">
        <v>0</v>
      </c>
      <c r="F28">
        <v>5</v>
      </c>
      <c r="G28">
        <v>0</v>
      </c>
      <c r="H28">
        <v>100</v>
      </c>
      <c r="I28" t="s">
        <v>47</v>
      </c>
    </row>
    <row r="29" spans="1:9" x14ac:dyDescent="0.3">
      <c r="A29" t="s">
        <v>15</v>
      </c>
      <c r="B29" t="s">
        <v>11</v>
      </c>
      <c r="C29">
        <v>4</v>
      </c>
      <c r="D29">
        <v>5</v>
      </c>
      <c r="E29">
        <v>4</v>
      </c>
      <c r="F29">
        <v>1</v>
      </c>
      <c r="G29">
        <v>80</v>
      </c>
      <c r="H29">
        <v>20</v>
      </c>
      <c r="I29" t="s">
        <v>171</v>
      </c>
    </row>
    <row r="30" spans="1:9" x14ac:dyDescent="0.3">
      <c r="A30" t="s">
        <v>15</v>
      </c>
      <c r="B30" t="s">
        <v>13</v>
      </c>
      <c r="C30">
        <v>1</v>
      </c>
      <c r="D30">
        <v>5</v>
      </c>
      <c r="E30">
        <v>0</v>
      </c>
      <c r="F30">
        <v>5</v>
      </c>
      <c r="G30">
        <v>0</v>
      </c>
      <c r="H30">
        <v>100</v>
      </c>
      <c r="I30" t="s">
        <v>49</v>
      </c>
    </row>
    <row r="31" spans="1:9" x14ac:dyDescent="0.3">
      <c r="A31" t="s">
        <v>15</v>
      </c>
      <c r="B31" t="s">
        <v>13</v>
      </c>
      <c r="C31">
        <v>2</v>
      </c>
      <c r="D31">
        <v>5</v>
      </c>
      <c r="E31">
        <v>0</v>
      </c>
      <c r="F31">
        <v>5</v>
      </c>
      <c r="G31">
        <v>0</v>
      </c>
      <c r="H31">
        <v>100</v>
      </c>
      <c r="I31" t="s">
        <v>172</v>
      </c>
    </row>
    <row r="32" spans="1:9" x14ac:dyDescent="0.3">
      <c r="A32" t="s">
        <v>15</v>
      </c>
      <c r="B32" t="s">
        <v>13</v>
      </c>
      <c r="C32">
        <v>3</v>
      </c>
      <c r="D32">
        <v>5</v>
      </c>
      <c r="E32">
        <v>0</v>
      </c>
      <c r="F32">
        <v>5</v>
      </c>
      <c r="G32">
        <v>0</v>
      </c>
      <c r="H32">
        <v>100</v>
      </c>
      <c r="I32" t="s">
        <v>51</v>
      </c>
    </row>
    <row r="33" spans="1:9" x14ac:dyDescent="0.3">
      <c r="A33" t="s">
        <v>15</v>
      </c>
      <c r="B33" t="s">
        <v>13</v>
      </c>
      <c r="C33">
        <v>4</v>
      </c>
      <c r="D33">
        <v>5</v>
      </c>
      <c r="E33">
        <v>5</v>
      </c>
      <c r="F33">
        <v>0</v>
      </c>
      <c r="G33">
        <v>100</v>
      </c>
      <c r="H33">
        <v>0</v>
      </c>
      <c r="I33" t="s">
        <v>52</v>
      </c>
    </row>
    <row r="34" spans="1:9" x14ac:dyDescent="0.3">
      <c r="A34" t="s">
        <v>15</v>
      </c>
      <c r="B34" t="s">
        <v>14</v>
      </c>
      <c r="C34">
        <v>1</v>
      </c>
      <c r="D34">
        <v>5</v>
      </c>
      <c r="E34">
        <v>3</v>
      </c>
      <c r="F34">
        <v>2</v>
      </c>
      <c r="G34">
        <v>60</v>
      </c>
      <c r="H34">
        <v>40</v>
      </c>
      <c r="I34" t="s">
        <v>173</v>
      </c>
    </row>
    <row r="35" spans="1:9" x14ac:dyDescent="0.3">
      <c r="A35" t="s">
        <v>15</v>
      </c>
      <c r="B35" t="s">
        <v>14</v>
      </c>
      <c r="C35">
        <v>2</v>
      </c>
      <c r="D35">
        <v>5</v>
      </c>
      <c r="E35">
        <v>1</v>
      </c>
      <c r="F35">
        <v>4</v>
      </c>
      <c r="G35">
        <v>20</v>
      </c>
      <c r="H35">
        <v>80</v>
      </c>
      <c r="I35" t="s">
        <v>54</v>
      </c>
    </row>
    <row r="36" spans="1:9" x14ac:dyDescent="0.3">
      <c r="A36" t="s">
        <v>15</v>
      </c>
      <c r="B36" t="s">
        <v>14</v>
      </c>
      <c r="C36">
        <v>3</v>
      </c>
      <c r="D36">
        <v>5</v>
      </c>
      <c r="E36">
        <v>0</v>
      </c>
      <c r="F36">
        <v>5</v>
      </c>
      <c r="G36">
        <v>0</v>
      </c>
      <c r="H36">
        <v>100</v>
      </c>
      <c r="I36" t="s">
        <v>55</v>
      </c>
    </row>
    <row r="37" spans="1:9" x14ac:dyDescent="0.3">
      <c r="A37" t="s">
        <v>15</v>
      </c>
      <c r="B37" t="s">
        <v>14</v>
      </c>
      <c r="C37">
        <v>4</v>
      </c>
      <c r="D37">
        <v>5</v>
      </c>
      <c r="E37">
        <v>5</v>
      </c>
      <c r="F37">
        <v>0</v>
      </c>
      <c r="G37">
        <v>100</v>
      </c>
      <c r="H37">
        <v>0</v>
      </c>
      <c r="I37" t="s">
        <v>56</v>
      </c>
    </row>
    <row r="38" spans="1:9" x14ac:dyDescent="0.3">
      <c r="A38" t="s">
        <v>16</v>
      </c>
      <c r="B38" t="s">
        <v>10</v>
      </c>
      <c r="C38">
        <v>1</v>
      </c>
      <c r="D38">
        <v>5</v>
      </c>
      <c r="E38">
        <v>3</v>
      </c>
      <c r="F38">
        <v>2</v>
      </c>
      <c r="G38">
        <v>60</v>
      </c>
      <c r="H38">
        <v>40</v>
      </c>
      <c r="I38" t="s">
        <v>57</v>
      </c>
    </row>
    <row r="39" spans="1:9" x14ac:dyDescent="0.3">
      <c r="A39" t="s">
        <v>16</v>
      </c>
      <c r="B39" t="s">
        <v>10</v>
      </c>
      <c r="C39">
        <v>2</v>
      </c>
      <c r="D39">
        <v>5</v>
      </c>
      <c r="E39">
        <v>4</v>
      </c>
      <c r="F39">
        <v>1</v>
      </c>
      <c r="G39">
        <v>80</v>
      </c>
      <c r="H39">
        <v>20</v>
      </c>
      <c r="I39" t="s">
        <v>174</v>
      </c>
    </row>
    <row r="40" spans="1:9" x14ac:dyDescent="0.3">
      <c r="A40" t="s">
        <v>16</v>
      </c>
      <c r="B40" t="s">
        <v>10</v>
      </c>
      <c r="C40">
        <v>3</v>
      </c>
      <c r="D40">
        <v>5</v>
      </c>
      <c r="E40">
        <v>4</v>
      </c>
      <c r="F40">
        <v>1</v>
      </c>
      <c r="G40">
        <v>80</v>
      </c>
      <c r="H40">
        <v>20</v>
      </c>
      <c r="I40" t="s">
        <v>59</v>
      </c>
    </row>
    <row r="41" spans="1:9" x14ac:dyDescent="0.3">
      <c r="A41" t="s">
        <v>16</v>
      </c>
      <c r="B41" t="s">
        <v>10</v>
      </c>
      <c r="C41">
        <v>4</v>
      </c>
      <c r="D41">
        <v>5</v>
      </c>
      <c r="E41">
        <v>3</v>
      </c>
      <c r="F41">
        <v>2</v>
      </c>
      <c r="G41">
        <v>60</v>
      </c>
      <c r="H41">
        <v>40</v>
      </c>
      <c r="I41" t="s">
        <v>175</v>
      </c>
    </row>
    <row r="42" spans="1:9" x14ac:dyDescent="0.3">
      <c r="A42" t="s">
        <v>16</v>
      </c>
      <c r="B42" t="s">
        <v>11</v>
      </c>
      <c r="C42">
        <v>1</v>
      </c>
      <c r="D42">
        <v>5</v>
      </c>
      <c r="E42">
        <v>0</v>
      </c>
      <c r="F42">
        <v>5</v>
      </c>
      <c r="G42">
        <v>0</v>
      </c>
      <c r="H42">
        <v>100</v>
      </c>
      <c r="I42" t="s">
        <v>61</v>
      </c>
    </row>
    <row r="43" spans="1:9" x14ac:dyDescent="0.3">
      <c r="A43" t="s">
        <v>16</v>
      </c>
      <c r="B43" t="s">
        <v>11</v>
      </c>
      <c r="C43">
        <v>2</v>
      </c>
      <c r="D43">
        <v>5</v>
      </c>
      <c r="E43">
        <v>1</v>
      </c>
      <c r="F43">
        <v>4</v>
      </c>
      <c r="G43">
        <v>20</v>
      </c>
      <c r="H43">
        <v>80</v>
      </c>
      <c r="I43" t="s">
        <v>176</v>
      </c>
    </row>
    <row r="44" spans="1:9" x14ac:dyDescent="0.3">
      <c r="A44" t="s">
        <v>16</v>
      </c>
      <c r="B44" t="s">
        <v>11</v>
      </c>
      <c r="C44">
        <v>3</v>
      </c>
      <c r="D44">
        <v>5</v>
      </c>
      <c r="E44">
        <v>5</v>
      </c>
      <c r="F44">
        <v>0</v>
      </c>
      <c r="G44">
        <v>100</v>
      </c>
      <c r="H44">
        <v>0</v>
      </c>
      <c r="I44" t="s">
        <v>177</v>
      </c>
    </row>
    <row r="45" spans="1:9" x14ac:dyDescent="0.3">
      <c r="A45" t="s">
        <v>16</v>
      </c>
      <c r="B45" t="s">
        <v>11</v>
      </c>
      <c r="C45">
        <v>4</v>
      </c>
      <c r="D45">
        <v>5</v>
      </c>
      <c r="E45">
        <v>0</v>
      </c>
      <c r="F45">
        <v>5</v>
      </c>
      <c r="G45">
        <v>0</v>
      </c>
      <c r="H45">
        <v>100</v>
      </c>
      <c r="I45" t="s">
        <v>64</v>
      </c>
    </row>
    <row r="46" spans="1:9" x14ac:dyDescent="0.3">
      <c r="A46" t="s">
        <v>16</v>
      </c>
      <c r="B46" t="s">
        <v>13</v>
      </c>
      <c r="C46">
        <v>1</v>
      </c>
      <c r="D46">
        <v>5</v>
      </c>
      <c r="E46">
        <v>4</v>
      </c>
      <c r="F46">
        <v>1</v>
      </c>
      <c r="G46">
        <v>80</v>
      </c>
      <c r="H46">
        <v>20</v>
      </c>
      <c r="I46" t="s">
        <v>178</v>
      </c>
    </row>
    <row r="47" spans="1:9" x14ac:dyDescent="0.3">
      <c r="A47" t="s">
        <v>16</v>
      </c>
      <c r="B47" t="s">
        <v>13</v>
      </c>
      <c r="C47">
        <v>2</v>
      </c>
      <c r="D47">
        <v>5</v>
      </c>
      <c r="E47">
        <v>0</v>
      </c>
      <c r="F47">
        <v>5</v>
      </c>
      <c r="G47">
        <v>0</v>
      </c>
      <c r="H47">
        <v>100</v>
      </c>
      <c r="I47" t="s">
        <v>179</v>
      </c>
    </row>
    <row r="48" spans="1:9" x14ac:dyDescent="0.3">
      <c r="A48" t="s">
        <v>16</v>
      </c>
      <c r="B48" t="s">
        <v>13</v>
      </c>
      <c r="C48">
        <v>3</v>
      </c>
      <c r="D48">
        <v>5</v>
      </c>
      <c r="E48">
        <v>0</v>
      </c>
      <c r="F48">
        <v>5</v>
      </c>
      <c r="G48">
        <v>0</v>
      </c>
      <c r="H48">
        <v>100</v>
      </c>
      <c r="I48" t="s">
        <v>67</v>
      </c>
    </row>
    <row r="49" spans="1:9" x14ac:dyDescent="0.3">
      <c r="A49" t="s">
        <v>16</v>
      </c>
      <c r="B49" t="s">
        <v>13</v>
      </c>
      <c r="C49">
        <v>4</v>
      </c>
      <c r="D49">
        <v>5</v>
      </c>
      <c r="E49">
        <v>0</v>
      </c>
      <c r="F49">
        <v>5</v>
      </c>
      <c r="G49">
        <v>0</v>
      </c>
      <c r="H49">
        <v>100</v>
      </c>
      <c r="I49" t="s">
        <v>68</v>
      </c>
    </row>
    <row r="50" spans="1:9" x14ac:dyDescent="0.3">
      <c r="A50" t="s">
        <v>16</v>
      </c>
      <c r="B50" t="s">
        <v>14</v>
      </c>
      <c r="C50">
        <v>1</v>
      </c>
      <c r="D50">
        <v>5</v>
      </c>
      <c r="E50">
        <v>0</v>
      </c>
      <c r="F50">
        <v>5</v>
      </c>
      <c r="G50">
        <v>0</v>
      </c>
      <c r="H50">
        <v>100</v>
      </c>
      <c r="I50" t="s">
        <v>69</v>
      </c>
    </row>
    <row r="51" spans="1:9" x14ac:dyDescent="0.3">
      <c r="A51" t="s">
        <v>16</v>
      </c>
      <c r="B51" t="s">
        <v>14</v>
      </c>
      <c r="C51">
        <v>2</v>
      </c>
      <c r="D51">
        <v>5</v>
      </c>
      <c r="E51">
        <v>0</v>
      </c>
      <c r="F51">
        <v>5</v>
      </c>
      <c r="G51">
        <v>0</v>
      </c>
      <c r="H51">
        <v>100</v>
      </c>
      <c r="I51" t="s">
        <v>180</v>
      </c>
    </row>
    <row r="52" spans="1:9" x14ac:dyDescent="0.3">
      <c r="A52" t="s">
        <v>16</v>
      </c>
      <c r="B52" t="s">
        <v>14</v>
      </c>
      <c r="C52">
        <v>3</v>
      </c>
      <c r="D52">
        <v>5</v>
      </c>
      <c r="E52">
        <v>4</v>
      </c>
      <c r="F52">
        <v>1</v>
      </c>
      <c r="G52">
        <v>80</v>
      </c>
      <c r="H52">
        <v>20</v>
      </c>
      <c r="I52" t="s">
        <v>71</v>
      </c>
    </row>
    <row r="53" spans="1:9" x14ac:dyDescent="0.3">
      <c r="A53" t="s">
        <v>16</v>
      </c>
      <c r="B53" t="s">
        <v>14</v>
      </c>
      <c r="C53">
        <v>4</v>
      </c>
      <c r="D53">
        <v>5</v>
      </c>
      <c r="E53">
        <v>4</v>
      </c>
      <c r="F53">
        <v>1</v>
      </c>
      <c r="G53">
        <v>80</v>
      </c>
      <c r="H53">
        <v>20</v>
      </c>
      <c r="I53" t="s">
        <v>72</v>
      </c>
    </row>
    <row r="54" spans="1:9" x14ac:dyDescent="0.3">
      <c r="A54" t="s">
        <v>17</v>
      </c>
      <c r="B54" t="s">
        <v>10</v>
      </c>
      <c r="C54">
        <v>1</v>
      </c>
      <c r="D54">
        <v>5</v>
      </c>
      <c r="E54">
        <v>4</v>
      </c>
      <c r="F54">
        <v>1</v>
      </c>
      <c r="G54">
        <v>80</v>
      </c>
      <c r="H54">
        <v>20</v>
      </c>
      <c r="I54" t="s">
        <v>73</v>
      </c>
    </row>
    <row r="55" spans="1:9" x14ac:dyDescent="0.3">
      <c r="A55" t="s">
        <v>17</v>
      </c>
      <c r="B55" t="s">
        <v>10</v>
      </c>
      <c r="C55">
        <v>2</v>
      </c>
      <c r="D55">
        <v>5</v>
      </c>
      <c r="E55">
        <v>0</v>
      </c>
      <c r="F55">
        <v>5</v>
      </c>
      <c r="G55">
        <v>0</v>
      </c>
      <c r="H55">
        <v>100</v>
      </c>
      <c r="I55" t="s">
        <v>74</v>
      </c>
    </row>
    <row r="56" spans="1:9" x14ac:dyDescent="0.3">
      <c r="A56" t="s">
        <v>17</v>
      </c>
      <c r="B56" t="s">
        <v>10</v>
      </c>
      <c r="C56">
        <v>3</v>
      </c>
      <c r="D56">
        <v>5</v>
      </c>
      <c r="E56">
        <v>0</v>
      </c>
      <c r="F56">
        <v>5</v>
      </c>
      <c r="G56">
        <v>0</v>
      </c>
      <c r="H56">
        <v>100</v>
      </c>
      <c r="I56" t="s">
        <v>75</v>
      </c>
    </row>
    <row r="57" spans="1:9" x14ac:dyDescent="0.3">
      <c r="A57" t="s">
        <v>17</v>
      </c>
      <c r="B57" t="s">
        <v>10</v>
      </c>
      <c r="C57">
        <v>4</v>
      </c>
      <c r="D57">
        <v>5</v>
      </c>
      <c r="E57">
        <v>5</v>
      </c>
      <c r="F57">
        <v>0</v>
      </c>
      <c r="G57">
        <v>100</v>
      </c>
      <c r="H57">
        <v>0</v>
      </c>
      <c r="I57" t="s">
        <v>76</v>
      </c>
    </row>
    <row r="58" spans="1:9" x14ac:dyDescent="0.3">
      <c r="A58" t="s">
        <v>17</v>
      </c>
      <c r="B58" t="s">
        <v>11</v>
      </c>
      <c r="C58">
        <v>1</v>
      </c>
      <c r="D58">
        <v>5</v>
      </c>
      <c r="E58">
        <v>0</v>
      </c>
      <c r="F58">
        <v>5</v>
      </c>
      <c r="G58">
        <v>0</v>
      </c>
      <c r="H58">
        <v>100</v>
      </c>
      <c r="I58" t="s">
        <v>77</v>
      </c>
    </row>
    <row r="59" spans="1:9" x14ac:dyDescent="0.3">
      <c r="A59" t="s">
        <v>17</v>
      </c>
      <c r="B59" t="s">
        <v>11</v>
      </c>
      <c r="C59">
        <v>2</v>
      </c>
      <c r="D59">
        <v>5</v>
      </c>
      <c r="E59">
        <v>0</v>
      </c>
      <c r="F59">
        <v>5</v>
      </c>
      <c r="G59">
        <v>0</v>
      </c>
      <c r="H59">
        <v>100</v>
      </c>
      <c r="I59" t="s">
        <v>78</v>
      </c>
    </row>
    <row r="60" spans="1:9" x14ac:dyDescent="0.3">
      <c r="A60" t="s">
        <v>17</v>
      </c>
      <c r="B60" t="s">
        <v>11</v>
      </c>
      <c r="C60">
        <v>3</v>
      </c>
      <c r="D60">
        <v>5</v>
      </c>
      <c r="E60">
        <v>0</v>
      </c>
      <c r="F60">
        <v>5</v>
      </c>
      <c r="G60">
        <v>0</v>
      </c>
      <c r="H60">
        <v>100</v>
      </c>
      <c r="I60" t="s">
        <v>79</v>
      </c>
    </row>
    <row r="61" spans="1:9" x14ac:dyDescent="0.3">
      <c r="A61" t="s">
        <v>17</v>
      </c>
      <c r="B61" t="s">
        <v>11</v>
      </c>
      <c r="C61">
        <v>4</v>
      </c>
      <c r="D61">
        <v>5</v>
      </c>
      <c r="E61">
        <v>0</v>
      </c>
      <c r="F61">
        <v>5</v>
      </c>
      <c r="G61">
        <v>0</v>
      </c>
      <c r="H61">
        <v>100</v>
      </c>
      <c r="I61" t="s">
        <v>80</v>
      </c>
    </row>
    <row r="62" spans="1:9" x14ac:dyDescent="0.3">
      <c r="A62" t="s">
        <v>17</v>
      </c>
      <c r="B62" t="s">
        <v>13</v>
      </c>
      <c r="C62">
        <v>1</v>
      </c>
      <c r="D62">
        <v>5</v>
      </c>
      <c r="E62">
        <v>0</v>
      </c>
      <c r="F62">
        <v>5</v>
      </c>
      <c r="G62">
        <v>0</v>
      </c>
      <c r="H62">
        <v>100</v>
      </c>
      <c r="I62" t="s">
        <v>81</v>
      </c>
    </row>
    <row r="63" spans="1:9" x14ac:dyDescent="0.3">
      <c r="A63" t="s">
        <v>17</v>
      </c>
      <c r="B63" t="s">
        <v>13</v>
      </c>
      <c r="C63">
        <v>2</v>
      </c>
      <c r="D63">
        <v>5</v>
      </c>
      <c r="E63">
        <v>0</v>
      </c>
      <c r="F63">
        <v>5</v>
      </c>
      <c r="G63">
        <v>0</v>
      </c>
      <c r="H63">
        <v>100</v>
      </c>
      <c r="I63" t="s">
        <v>82</v>
      </c>
    </row>
    <row r="64" spans="1:9" x14ac:dyDescent="0.3">
      <c r="A64" t="s">
        <v>17</v>
      </c>
      <c r="B64" t="s">
        <v>13</v>
      </c>
      <c r="C64">
        <v>3</v>
      </c>
      <c r="D64">
        <v>5</v>
      </c>
      <c r="E64">
        <v>0</v>
      </c>
      <c r="F64">
        <v>5</v>
      </c>
      <c r="G64">
        <v>0</v>
      </c>
      <c r="H64">
        <v>100</v>
      </c>
      <c r="I64" t="s">
        <v>83</v>
      </c>
    </row>
    <row r="65" spans="1:9" x14ac:dyDescent="0.3">
      <c r="A65" t="s">
        <v>17</v>
      </c>
      <c r="B65" t="s">
        <v>13</v>
      </c>
      <c r="C65">
        <v>4</v>
      </c>
      <c r="D65">
        <v>5</v>
      </c>
      <c r="E65">
        <v>1</v>
      </c>
      <c r="F65">
        <v>4</v>
      </c>
      <c r="G65">
        <v>20</v>
      </c>
      <c r="H65">
        <v>80</v>
      </c>
      <c r="I65" t="s">
        <v>181</v>
      </c>
    </row>
    <row r="66" spans="1:9" x14ac:dyDescent="0.3">
      <c r="A66" t="s">
        <v>17</v>
      </c>
      <c r="B66" t="s">
        <v>14</v>
      </c>
      <c r="C66">
        <v>1</v>
      </c>
      <c r="D66">
        <v>5</v>
      </c>
      <c r="E66">
        <v>2</v>
      </c>
      <c r="F66">
        <v>3</v>
      </c>
      <c r="G66">
        <v>40</v>
      </c>
      <c r="H66">
        <v>60</v>
      </c>
      <c r="I66" t="s">
        <v>85</v>
      </c>
    </row>
    <row r="67" spans="1:9" x14ac:dyDescent="0.3">
      <c r="A67" t="s">
        <v>17</v>
      </c>
      <c r="B67" t="s">
        <v>14</v>
      </c>
      <c r="C67">
        <v>2</v>
      </c>
      <c r="D67">
        <v>5</v>
      </c>
      <c r="E67">
        <v>4</v>
      </c>
      <c r="F67">
        <v>1</v>
      </c>
      <c r="G67">
        <v>80</v>
      </c>
      <c r="H67">
        <v>20</v>
      </c>
      <c r="I67" t="s">
        <v>182</v>
      </c>
    </row>
    <row r="68" spans="1:9" x14ac:dyDescent="0.3">
      <c r="A68" t="s">
        <v>17</v>
      </c>
      <c r="B68" t="s">
        <v>14</v>
      </c>
      <c r="C68">
        <v>3</v>
      </c>
      <c r="D68">
        <v>5</v>
      </c>
      <c r="E68">
        <v>0</v>
      </c>
      <c r="F68">
        <v>5</v>
      </c>
      <c r="G68">
        <v>0</v>
      </c>
      <c r="H68">
        <v>100</v>
      </c>
      <c r="I68" t="s">
        <v>87</v>
      </c>
    </row>
    <row r="69" spans="1:9" x14ac:dyDescent="0.3">
      <c r="A69" t="s">
        <v>17</v>
      </c>
      <c r="B69" t="s">
        <v>14</v>
      </c>
      <c r="C69">
        <v>4</v>
      </c>
      <c r="D69">
        <v>5</v>
      </c>
      <c r="E69">
        <v>0</v>
      </c>
      <c r="F69">
        <v>5</v>
      </c>
      <c r="G69">
        <v>0</v>
      </c>
      <c r="H69">
        <v>100</v>
      </c>
      <c r="I69" t="s">
        <v>88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ED98-AA07-4DD9-B31C-380AD4830850}">
  <dimension ref="A1:M53"/>
  <sheetViews>
    <sheetView topLeftCell="A28" workbookViewId="0">
      <selection activeCell="J17" sqref="J17"/>
    </sheetView>
  </sheetViews>
  <sheetFormatPr defaultRowHeight="14.4" x14ac:dyDescent="0.3"/>
  <cols>
    <col min="2" max="2" width="10" customWidth="1"/>
    <col min="3" max="3" width="11.88671875" customWidth="1"/>
    <col min="4" max="4" width="9" customWidth="1"/>
    <col min="7" max="9" width="11.109375" customWidth="1"/>
    <col min="10" max="10" width="9.88671875" customWidth="1"/>
    <col min="11" max="11" width="18.109375" customWidth="1"/>
    <col min="12" max="12" width="16.88671875" customWidth="1"/>
    <col min="13" max="13" width="14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3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</row>
    <row r="2" spans="1:13" x14ac:dyDescent="0.3">
      <c r="A2" t="s">
        <v>98</v>
      </c>
      <c r="B2" t="s">
        <v>99</v>
      </c>
      <c r="C2">
        <v>1</v>
      </c>
      <c r="D2" t="s">
        <v>10</v>
      </c>
      <c r="E2" t="s">
        <v>100</v>
      </c>
      <c r="F2">
        <v>3</v>
      </c>
      <c r="G2" t="s">
        <v>104</v>
      </c>
      <c r="H2">
        <v>5</v>
      </c>
      <c r="I2">
        <v>3</v>
      </c>
      <c r="J2">
        <v>2</v>
      </c>
      <c r="K2">
        <v>60</v>
      </c>
      <c r="L2">
        <v>40</v>
      </c>
      <c r="M2">
        <v>60</v>
      </c>
    </row>
    <row r="3" spans="1:13" x14ac:dyDescent="0.3">
      <c r="A3" t="s">
        <v>98</v>
      </c>
      <c r="B3" t="s">
        <v>99</v>
      </c>
      <c r="C3">
        <v>1</v>
      </c>
      <c r="D3" t="s">
        <v>11</v>
      </c>
      <c r="E3" t="s">
        <v>100</v>
      </c>
      <c r="F3">
        <v>3</v>
      </c>
      <c r="G3" t="s">
        <v>106</v>
      </c>
      <c r="H3">
        <v>5</v>
      </c>
      <c r="I3">
        <v>0</v>
      </c>
      <c r="J3">
        <v>5</v>
      </c>
      <c r="K3">
        <v>0</v>
      </c>
      <c r="L3">
        <v>100</v>
      </c>
      <c r="M3">
        <v>0</v>
      </c>
    </row>
    <row r="4" spans="1:13" x14ac:dyDescent="0.3">
      <c r="A4" t="s">
        <v>98</v>
      </c>
      <c r="B4" t="s">
        <v>99</v>
      </c>
      <c r="C4">
        <v>1</v>
      </c>
      <c r="D4" t="s">
        <v>12</v>
      </c>
      <c r="E4" t="s">
        <v>100</v>
      </c>
      <c r="F4">
        <v>3</v>
      </c>
      <c r="G4" t="s">
        <v>108</v>
      </c>
      <c r="H4">
        <v>5</v>
      </c>
      <c r="I4">
        <v>0</v>
      </c>
      <c r="J4">
        <v>5</v>
      </c>
      <c r="K4">
        <v>0</v>
      </c>
      <c r="L4">
        <v>100</v>
      </c>
      <c r="M4">
        <v>0</v>
      </c>
    </row>
    <row r="5" spans="1:13" x14ac:dyDescent="0.3">
      <c r="A5" t="s">
        <v>98</v>
      </c>
      <c r="B5" t="s">
        <v>99</v>
      </c>
      <c r="C5">
        <v>1</v>
      </c>
      <c r="D5" t="s">
        <v>13</v>
      </c>
      <c r="E5" t="s">
        <v>101</v>
      </c>
      <c r="F5">
        <v>3</v>
      </c>
      <c r="G5" t="s">
        <v>110</v>
      </c>
      <c r="H5">
        <v>5</v>
      </c>
      <c r="I5">
        <v>5</v>
      </c>
      <c r="J5">
        <v>0</v>
      </c>
      <c r="K5">
        <v>100</v>
      </c>
      <c r="L5">
        <v>0</v>
      </c>
      <c r="M5">
        <v>100</v>
      </c>
    </row>
    <row r="6" spans="1:13" x14ac:dyDescent="0.3">
      <c r="A6" t="s">
        <v>98</v>
      </c>
      <c r="B6" t="s">
        <v>99</v>
      </c>
      <c r="C6">
        <v>1</v>
      </c>
      <c r="D6" t="s">
        <v>14</v>
      </c>
      <c r="E6" t="s">
        <v>101</v>
      </c>
      <c r="F6">
        <v>2</v>
      </c>
      <c r="G6" t="s">
        <v>112</v>
      </c>
      <c r="H6">
        <v>5</v>
      </c>
      <c r="I6">
        <v>3</v>
      </c>
      <c r="J6">
        <v>2</v>
      </c>
      <c r="K6">
        <v>60</v>
      </c>
      <c r="L6">
        <v>40</v>
      </c>
      <c r="M6">
        <v>60</v>
      </c>
    </row>
    <row r="7" spans="1:13" x14ac:dyDescent="0.3">
      <c r="A7" t="s">
        <v>98</v>
      </c>
      <c r="B7" t="s">
        <v>99</v>
      </c>
      <c r="C7">
        <v>2</v>
      </c>
      <c r="D7" t="s">
        <v>10</v>
      </c>
      <c r="E7" t="s">
        <v>100</v>
      </c>
      <c r="F7">
        <v>3</v>
      </c>
      <c r="G7" t="s">
        <v>104</v>
      </c>
      <c r="H7">
        <v>5</v>
      </c>
      <c r="I7">
        <v>5</v>
      </c>
      <c r="J7">
        <v>0</v>
      </c>
      <c r="K7">
        <v>100</v>
      </c>
      <c r="L7">
        <v>0</v>
      </c>
      <c r="M7">
        <v>100</v>
      </c>
    </row>
    <row r="8" spans="1:13" x14ac:dyDescent="0.3">
      <c r="A8" t="s">
        <v>98</v>
      </c>
      <c r="B8" t="s">
        <v>99</v>
      </c>
      <c r="C8">
        <v>2</v>
      </c>
      <c r="D8" t="s">
        <v>11</v>
      </c>
      <c r="E8" t="s">
        <v>100</v>
      </c>
      <c r="F8">
        <v>3</v>
      </c>
      <c r="G8" t="s">
        <v>106</v>
      </c>
      <c r="H8">
        <v>5</v>
      </c>
      <c r="I8">
        <v>1</v>
      </c>
      <c r="J8">
        <v>4</v>
      </c>
      <c r="K8">
        <v>20</v>
      </c>
      <c r="L8">
        <v>80</v>
      </c>
      <c r="M8">
        <v>20</v>
      </c>
    </row>
    <row r="9" spans="1:13" x14ac:dyDescent="0.3">
      <c r="A9" t="s">
        <v>98</v>
      </c>
      <c r="B9" t="s">
        <v>99</v>
      </c>
      <c r="C9">
        <v>2</v>
      </c>
      <c r="D9" t="s">
        <v>12</v>
      </c>
      <c r="E9" t="s">
        <v>100</v>
      </c>
      <c r="F9">
        <v>3</v>
      </c>
      <c r="G9" t="s">
        <v>108</v>
      </c>
      <c r="H9">
        <v>5</v>
      </c>
      <c r="I9">
        <v>0</v>
      </c>
      <c r="J9">
        <v>5</v>
      </c>
      <c r="K9">
        <v>0</v>
      </c>
      <c r="L9">
        <v>100</v>
      </c>
      <c r="M9">
        <v>0</v>
      </c>
    </row>
    <row r="10" spans="1:13" x14ac:dyDescent="0.3">
      <c r="A10" t="s">
        <v>98</v>
      </c>
      <c r="B10" t="s">
        <v>99</v>
      </c>
      <c r="C10">
        <v>2</v>
      </c>
      <c r="D10" t="s">
        <v>13</v>
      </c>
      <c r="E10" t="s">
        <v>101</v>
      </c>
      <c r="F10">
        <v>3</v>
      </c>
      <c r="G10" t="s">
        <v>110</v>
      </c>
      <c r="H10">
        <v>5</v>
      </c>
      <c r="I10">
        <v>5</v>
      </c>
      <c r="J10">
        <v>0</v>
      </c>
      <c r="K10">
        <v>100</v>
      </c>
      <c r="L10">
        <v>0</v>
      </c>
      <c r="M10">
        <v>100</v>
      </c>
    </row>
    <row r="11" spans="1:13" x14ac:dyDescent="0.3">
      <c r="A11" t="s">
        <v>98</v>
      </c>
      <c r="B11" t="s">
        <v>99</v>
      </c>
      <c r="C11">
        <v>2</v>
      </c>
      <c r="D11" t="s">
        <v>14</v>
      </c>
      <c r="E11" t="s">
        <v>101</v>
      </c>
      <c r="F11">
        <v>2</v>
      </c>
      <c r="G11" t="s">
        <v>112</v>
      </c>
      <c r="H11">
        <v>5</v>
      </c>
      <c r="I11">
        <v>3</v>
      </c>
      <c r="J11">
        <v>2</v>
      </c>
      <c r="K11">
        <v>60</v>
      </c>
      <c r="L11">
        <v>40</v>
      </c>
      <c r="M11">
        <v>60</v>
      </c>
    </row>
    <row r="12" spans="1:13" x14ac:dyDescent="0.3">
      <c r="A12" t="s">
        <v>98</v>
      </c>
      <c r="B12" t="s">
        <v>99</v>
      </c>
      <c r="C12">
        <v>3</v>
      </c>
      <c r="D12" t="s">
        <v>10</v>
      </c>
      <c r="E12" t="s">
        <v>100</v>
      </c>
      <c r="F12">
        <v>3</v>
      </c>
      <c r="G12" t="s">
        <v>104</v>
      </c>
      <c r="H12">
        <v>5</v>
      </c>
      <c r="I12">
        <v>1</v>
      </c>
      <c r="J12">
        <v>4</v>
      </c>
      <c r="K12">
        <v>20</v>
      </c>
      <c r="L12">
        <v>80</v>
      </c>
      <c r="M12">
        <v>20</v>
      </c>
    </row>
    <row r="13" spans="1:13" x14ac:dyDescent="0.3">
      <c r="A13" t="s">
        <v>98</v>
      </c>
      <c r="B13" t="s">
        <v>99</v>
      </c>
      <c r="C13">
        <v>3</v>
      </c>
      <c r="D13" t="s">
        <v>11</v>
      </c>
      <c r="E13" t="s">
        <v>100</v>
      </c>
      <c r="F13">
        <v>3</v>
      </c>
      <c r="G13" t="s">
        <v>106</v>
      </c>
      <c r="H13">
        <v>5</v>
      </c>
      <c r="I13">
        <v>5</v>
      </c>
      <c r="J13">
        <v>0</v>
      </c>
      <c r="K13">
        <v>100</v>
      </c>
      <c r="L13">
        <v>0</v>
      </c>
      <c r="M13">
        <v>100</v>
      </c>
    </row>
    <row r="14" spans="1:13" x14ac:dyDescent="0.3">
      <c r="A14" t="s">
        <v>98</v>
      </c>
      <c r="B14" t="s">
        <v>99</v>
      </c>
      <c r="C14">
        <v>3</v>
      </c>
      <c r="D14" t="s">
        <v>12</v>
      </c>
      <c r="E14" t="s">
        <v>100</v>
      </c>
      <c r="F14">
        <v>3</v>
      </c>
      <c r="G14" t="s">
        <v>108</v>
      </c>
      <c r="H14">
        <v>5</v>
      </c>
      <c r="I14">
        <v>5</v>
      </c>
      <c r="J14">
        <v>0</v>
      </c>
      <c r="K14">
        <v>100</v>
      </c>
      <c r="L14">
        <v>0</v>
      </c>
      <c r="M14">
        <v>100</v>
      </c>
    </row>
    <row r="15" spans="1:13" x14ac:dyDescent="0.3">
      <c r="A15" t="s">
        <v>98</v>
      </c>
      <c r="B15" t="s">
        <v>99</v>
      </c>
      <c r="C15">
        <v>3</v>
      </c>
      <c r="D15" t="s">
        <v>13</v>
      </c>
      <c r="E15" t="s">
        <v>101</v>
      </c>
      <c r="F15">
        <v>3</v>
      </c>
      <c r="G15" t="s">
        <v>110</v>
      </c>
      <c r="H15">
        <v>5</v>
      </c>
      <c r="I15">
        <v>1</v>
      </c>
      <c r="J15">
        <v>4</v>
      </c>
      <c r="K15">
        <v>20</v>
      </c>
      <c r="L15">
        <v>80</v>
      </c>
      <c r="M15">
        <v>20</v>
      </c>
    </row>
    <row r="16" spans="1:13" x14ac:dyDescent="0.3">
      <c r="A16" t="s">
        <v>98</v>
      </c>
      <c r="B16" t="s">
        <v>99</v>
      </c>
      <c r="C16">
        <v>3</v>
      </c>
      <c r="D16" t="s">
        <v>14</v>
      </c>
      <c r="E16" t="s">
        <v>101</v>
      </c>
      <c r="F16">
        <v>2</v>
      </c>
      <c r="G16" t="s">
        <v>112</v>
      </c>
      <c r="H16">
        <v>5</v>
      </c>
      <c r="I16">
        <v>5</v>
      </c>
      <c r="J16">
        <v>0</v>
      </c>
      <c r="K16">
        <v>100</v>
      </c>
      <c r="L16">
        <v>0</v>
      </c>
      <c r="M16">
        <v>100</v>
      </c>
    </row>
    <row r="17" spans="1:13" x14ac:dyDescent="0.3">
      <c r="A17" t="s">
        <v>98</v>
      </c>
      <c r="B17" t="s">
        <v>99</v>
      </c>
      <c r="C17">
        <v>4</v>
      </c>
      <c r="D17" t="s">
        <v>10</v>
      </c>
      <c r="E17" t="s">
        <v>100</v>
      </c>
      <c r="F17">
        <v>3</v>
      </c>
      <c r="G17" t="s">
        <v>104</v>
      </c>
      <c r="H17">
        <v>5</v>
      </c>
      <c r="I17">
        <v>4</v>
      </c>
      <c r="J17">
        <v>1</v>
      </c>
      <c r="K17">
        <v>80</v>
      </c>
      <c r="L17">
        <v>20</v>
      </c>
      <c r="M17">
        <v>80</v>
      </c>
    </row>
    <row r="18" spans="1:13" x14ac:dyDescent="0.3">
      <c r="A18" t="s">
        <v>98</v>
      </c>
      <c r="B18" t="s">
        <v>99</v>
      </c>
      <c r="C18">
        <v>4</v>
      </c>
      <c r="D18" t="s">
        <v>11</v>
      </c>
      <c r="E18" t="s">
        <v>100</v>
      </c>
      <c r="F18">
        <v>3</v>
      </c>
      <c r="G18" t="s">
        <v>106</v>
      </c>
      <c r="H18">
        <v>5</v>
      </c>
      <c r="I18">
        <v>3</v>
      </c>
      <c r="J18">
        <v>2</v>
      </c>
      <c r="K18">
        <v>60</v>
      </c>
      <c r="L18">
        <v>40</v>
      </c>
      <c r="M18">
        <v>60</v>
      </c>
    </row>
    <row r="19" spans="1:13" x14ac:dyDescent="0.3">
      <c r="A19" t="s">
        <v>98</v>
      </c>
      <c r="B19" t="s">
        <v>99</v>
      </c>
      <c r="C19">
        <v>4</v>
      </c>
      <c r="D19" t="s">
        <v>12</v>
      </c>
      <c r="E19" t="s">
        <v>100</v>
      </c>
      <c r="F19">
        <v>3</v>
      </c>
      <c r="G19" t="s">
        <v>108</v>
      </c>
      <c r="H19">
        <v>5</v>
      </c>
      <c r="I19">
        <v>2</v>
      </c>
      <c r="J19">
        <v>3</v>
      </c>
      <c r="K19">
        <v>40</v>
      </c>
      <c r="L19">
        <v>60</v>
      </c>
      <c r="M19">
        <v>40</v>
      </c>
    </row>
    <row r="20" spans="1:13" x14ac:dyDescent="0.3">
      <c r="A20" t="s">
        <v>98</v>
      </c>
      <c r="B20" t="s">
        <v>99</v>
      </c>
      <c r="C20">
        <v>4</v>
      </c>
      <c r="D20" t="s">
        <v>13</v>
      </c>
      <c r="E20" t="s">
        <v>101</v>
      </c>
      <c r="F20">
        <v>3</v>
      </c>
      <c r="G20" t="s">
        <v>110</v>
      </c>
      <c r="H20">
        <v>5</v>
      </c>
      <c r="I20">
        <v>4</v>
      </c>
      <c r="J20">
        <v>1</v>
      </c>
      <c r="K20">
        <v>80</v>
      </c>
      <c r="L20">
        <v>20</v>
      </c>
      <c r="M20">
        <v>80</v>
      </c>
    </row>
    <row r="21" spans="1:13" x14ac:dyDescent="0.3">
      <c r="A21" t="s">
        <v>98</v>
      </c>
      <c r="B21" t="s">
        <v>99</v>
      </c>
      <c r="C21">
        <v>4</v>
      </c>
      <c r="D21" t="s">
        <v>14</v>
      </c>
      <c r="E21" t="s">
        <v>101</v>
      </c>
      <c r="F21">
        <v>2</v>
      </c>
      <c r="G21" t="s">
        <v>112</v>
      </c>
      <c r="H21">
        <v>5</v>
      </c>
      <c r="I21">
        <v>1</v>
      </c>
      <c r="J21">
        <v>4</v>
      </c>
      <c r="K21">
        <v>20</v>
      </c>
      <c r="L21">
        <v>80</v>
      </c>
      <c r="M21">
        <v>20</v>
      </c>
    </row>
    <row r="22" spans="1:13" x14ac:dyDescent="0.3">
      <c r="A22" t="s">
        <v>98</v>
      </c>
      <c r="B22" t="s">
        <v>102</v>
      </c>
      <c r="C22">
        <v>1</v>
      </c>
      <c r="D22" t="s">
        <v>10</v>
      </c>
      <c r="E22" t="s">
        <v>100</v>
      </c>
      <c r="F22">
        <v>3</v>
      </c>
      <c r="G22" t="s">
        <v>104</v>
      </c>
      <c r="H22">
        <v>5</v>
      </c>
      <c r="I22">
        <v>0</v>
      </c>
      <c r="J22">
        <v>5</v>
      </c>
      <c r="K22">
        <v>0</v>
      </c>
      <c r="L22">
        <v>100</v>
      </c>
      <c r="M22">
        <v>0</v>
      </c>
    </row>
    <row r="23" spans="1:13" x14ac:dyDescent="0.3">
      <c r="A23" t="s">
        <v>98</v>
      </c>
      <c r="B23" t="s">
        <v>102</v>
      </c>
      <c r="C23">
        <v>1</v>
      </c>
      <c r="D23" t="s">
        <v>11</v>
      </c>
      <c r="E23" t="s">
        <v>100</v>
      </c>
      <c r="F23">
        <v>3</v>
      </c>
      <c r="G23" t="s">
        <v>106</v>
      </c>
      <c r="H23">
        <v>5</v>
      </c>
      <c r="I23">
        <v>1</v>
      </c>
      <c r="J23">
        <v>4</v>
      </c>
      <c r="K23">
        <v>20</v>
      </c>
      <c r="L23">
        <v>80</v>
      </c>
      <c r="M23">
        <v>20</v>
      </c>
    </row>
    <row r="24" spans="1:13" x14ac:dyDescent="0.3">
      <c r="A24" t="s">
        <v>98</v>
      </c>
      <c r="B24" t="s">
        <v>102</v>
      </c>
      <c r="C24">
        <v>1</v>
      </c>
      <c r="D24" t="s">
        <v>13</v>
      </c>
      <c r="E24" t="s">
        <v>101</v>
      </c>
      <c r="F24">
        <v>3</v>
      </c>
      <c r="G24" t="s">
        <v>110</v>
      </c>
      <c r="H24">
        <v>5</v>
      </c>
      <c r="I24">
        <v>1</v>
      </c>
      <c r="J24">
        <v>4</v>
      </c>
      <c r="K24">
        <v>20</v>
      </c>
      <c r="L24">
        <v>80</v>
      </c>
      <c r="M24">
        <v>20</v>
      </c>
    </row>
    <row r="25" spans="1:13" x14ac:dyDescent="0.3">
      <c r="A25" t="s">
        <v>98</v>
      </c>
      <c r="B25" t="s">
        <v>102</v>
      </c>
      <c r="C25">
        <v>1</v>
      </c>
      <c r="D25" t="s">
        <v>14</v>
      </c>
      <c r="E25" t="s">
        <v>101</v>
      </c>
      <c r="F25">
        <v>2</v>
      </c>
      <c r="G25" t="s">
        <v>112</v>
      </c>
      <c r="H25">
        <v>5</v>
      </c>
      <c r="I25">
        <v>5</v>
      </c>
      <c r="J25">
        <v>0</v>
      </c>
      <c r="K25">
        <v>100</v>
      </c>
      <c r="L25">
        <v>0</v>
      </c>
      <c r="M25">
        <v>100</v>
      </c>
    </row>
    <row r="26" spans="1:13" x14ac:dyDescent="0.3">
      <c r="A26" t="s">
        <v>98</v>
      </c>
      <c r="B26" t="s">
        <v>102</v>
      </c>
      <c r="C26">
        <v>2</v>
      </c>
      <c r="D26" t="s">
        <v>10</v>
      </c>
      <c r="E26" t="s">
        <v>100</v>
      </c>
      <c r="F26">
        <v>3</v>
      </c>
      <c r="G26" t="s">
        <v>104</v>
      </c>
      <c r="H26">
        <v>5</v>
      </c>
      <c r="I26">
        <v>3</v>
      </c>
      <c r="J26">
        <v>2</v>
      </c>
      <c r="K26">
        <v>60</v>
      </c>
      <c r="L26">
        <v>40</v>
      </c>
      <c r="M26">
        <v>60</v>
      </c>
    </row>
    <row r="27" spans="1:13" x14ac:dyDescent="0.3">
      <c r="A27" t="s">
        <v>98</v>
      </c>
      <c r="B27" t="s">
        <v>102</v>
      </c>
      <c r="C27">
        <v>2</v>
      </c>
      <c r="D27" t="s">
        <v>11</v>
      </c>
      <c r="E27" t="s">
        <v>100</v>
      </c>
      <c r="F27">
        <v>3</v>
      </c>
      <c r="G27" t="s">
        <v>106</v>
      </c>
      <c r="H27">
        <v>5</v>
      </c>
      <c r="I27">
        <v>1</v>
      </c>
      <c r="J27">
        <v>4</v>
      </c>
      <c r="K27">
        <v>20</v>
      </c>
      <c r="L27">
        <v>80</v>
      </c>
      <c r="M27">
        <v>20</v>
      </c>
    </row>
    <row r="28" spans="1:13" x14ac:dyDescent="0.3">
      <c r="A28" t="s">
        <v>98</v>
      </c>
      <c r="B28" t="s">
        <v>102</v>
      </c>
      <c r="C28">
        <v>2</v>
      </c>
      <c r="D28" t="s">
        <v>13</v>
      </c>
      <c r="E28" t="s">
        <v>101</v>
      </c>
      <c r="F28">
        <v>3</v>
      </c>
      <c r="G28" t="s">
        <v>110</v>
      </c>
      <c r="H28">
        <v>5</v>
      </c>
      <c r="I28">
        <v>1</v>
      </c>
      <c r="J28">
        <v>4</v>
      </c>
      <c r="K28">
        <v>20</v>
      </c>
      <c r="L28">
        <v>80</v>
      </c>
      <c r="M28">
        <v>20</v>
      </c>
    </row>
    <row r="29" spans="1:13" x14ac:dyDescent="0.3">
      <c r="A29" t="s">
        <v>98</v>
      </c>
      <c r="B29" t="s">
        <v>102</v>
      </c>
      <c r="C29">
        <v>2</v>
      </c>
      <c r="D29" t="s">
        <v>14</v>
      </c>
      <c r="E29" t="s">
        <v>101</v>
      </c>
      <c r="F29">
        <v>2</v>
      </c>
      <c r="G29" t="s">
        <v>112</v>
      </c>
      <c r="H29">
        <v>5</v>
      </c>
      <c r="I29">
        <v>5</v>
      </c>
      <c r="J29">
        <v>0</v>
      </c>
      <c r="K29">
        <v>100</v>
      </c>
      <c r="L29">
        <v>0</v>
      </c>
      <c r="M29">
        <v>100</v>
      </c>
    </row>
    <row r="30" spans="1:13" x14ac:dyDescent="0.3">
      <c r="A30" t="s">
        <v>98</v>
      </c>
      <c r="B30" t="s">
        <v>102</v>
      </c>
      <c r="C30">
        <v>3</v>
      </c>
      <c r="D30" t="s">
        <v>10</v>
      </c>
      <c r="E30" t="s">
        <v>100</v>
      </c>
      <c r="F30">
        <v>3</v>
      </c>
      <c r="G30" t="s">
        <v>104</v>
      </c>
      <c r="H30">
        <v>5</v>
      </c>
      <c r="I30">
        <v>2</v>
      </c>
      <c r="J30">
        <v>3</v>
      </c>
      <c r="K30">
        <v>40</v>
      </c>
      <c r="L30">
        <v>60</v>
      </c>
      <c r="M30">
        <v>40</v>
      </c>
    </row>
    <row r="31" spans="1:13" x14ac:dyDescent="0.3">
      <c r="A31" t="s">
        <v>98</v>
      </c>
      <c r="B31" t="s">
        <v>102</v>
      </c>
      <c r="C31">
        <v>3</v>
      </c>
      <c r="D31" t="s">
        <v>11</v>
      </c>
      <c r="E31" t="s">
        <v>100</v>
      </c>
      <c r="F31">
        <v>3</v>
      </c>
      <c r="G31" t="s">
        <v>106</v>
      </c>
      <c r="H31">
        <v>5</v>
      </c>
      <c r="I31">
        <v>3</v>
      </c>
      <c r="J31">
        <v>2</v>
      </c>
      <c r="K31">
        <v>60</v>
      </c>
      <c r="L31">
        <v>40</v>
      </c>
      <c r="M31">
        <v>60</v>
      </c>
    </row>
    <row r="32" spans="1:13" x14ac:dyDescent="0.3">
      <c r="A32" t="s">
        <v>98</v>
      </c>
      <c r="B32" t="s">
        <v>102</v>
      </c>
      <c r="C32">
        <v>3</v>
      </c>
      <c r="D32" t="s">
        <v>13</v>
      </c>
      <c r="E32" t="s">
        <v>101</v>
      </c>
      <c r="F32">
        <v>3</v>
      </c>
      <c r="G32" t="s">
        <v>110</v>
      </c>
      <c r="H32">
        <v>5</v>
      </c>
      <c r="I32">
        <v>1</v>
      </c>
      <c r="J32">
        <v>4</v>
      </c>
      <c r="K32">
        <v>20</v>
      </c>
      <c r="L32">
        <v>80</v>
      </c>
      <c r="M32">
        <v>20</v>
      </c>
    </row>
    <row r="33" spans="1:13" x14ac:dyDescent="0.3">
      <c r="A33" t="s">
        <v>98</v>
      </c>
      <c r="B33" t="s">
        <v>102</v>
      </c>
      <c r="C33">
        <v>3</v>
      </c>
      <c r="D33" t="s">
        <v>14</v>
      </c>
      <c r="E33" t="s">
        <v>101</v>
      </c>
      <c r="F33">
        <v>2</v>
      </c>
      <c r="G33" t="s">
        <v>112</v>
      </c>
      <c r="H33">
        <v>5</v>
      </c>
      <c r="I33">
        <v>5</v>
      </c>
      <c r="J33">
        <v>0</v>
      </c>
      <c r="K33">
        <v>100</v>
      </c>
      <c r="L33">
        <v>0</v>
      </c>
      <c r="M33">
        <v>100</v>
      </c>
    </row>
    <row r="34" spans="1:13" x14ac:dyDescent="0.3">
      <c r="A34" t="s">
        <v>98</v>
      </c>
      <c r="B34" t="s">
        <v>102</v>
      </c>
      <c r="C34">
        <v>4</v>
      </c>
      <c r="D34" t="s">
        <v>10</v>
      </c>
      <c r="E34" t="s">
        <v>100</v>
      </c>
      <c r="F34">
        <v>3</v>
      </c>
      <c r="G34" t="s">
        <v>104</v>
      </c>
      <c r="H34">
        <v>5</v>
      </c>
      <c r="I34">
        <v>3</v>
      </c>
      <c r="J34">
        <v>2</v>
      </c>
      <c r="K34">
        <v>60</v>
      </c>
      <c r="L34">
        <v>40</v>
      </c>
      <c r="M34">
        <v>60</v>
      </c>
    </row>
    <row r="35" spans="1:13" x14ac:dyDescent="0.3">
      <c r="A35" t="s">
        <v>98</v>
      </c>
      <c r="B35" t="s">
        <v>102</v>
      </c>
      <c r="C35">
        <v>4</v>
      </c>
      <c r="D35" t="s">
        <v>11</v>
      </c>
      <c r="E35" t="s">
        <v>100</v>
      </c>
      <c r="F35">
        <v>3</v>
      </c>
      <c r="G35" t="s">
        <v>106</v>
      </c>
      <c r="H35">
        <v>5</v>
      </c>
      <c r="I35">
        <v>0</v>
      </c>
      <c r="J35">
        <v>5</v>
      </c>
      <c r="K35">
        <v>0</v>
      </c>
      <c r="L35">
        <v>100</v>
      </c>
      <c r="M35">
        <v>0</v>
      </c>
    </row>
    <row r="36" spans="1:13" x14ac:dyDescent="0.3">
      <c r="A36" t="s">
        <v>98</v>
      </c>
      <c r="B36" t="s">
        <v>102</v>
      </c>
      <c r="C36">
        <v>4</v>
      </c>
      <c r="D36" t="s">
        <v>13</v>
      </c>
      <c r="E36" t="s">
        <v>101</v>
      </c>
      <c r="F36">
        <v>3</v>
      </c>
      <c r="G36" t="s">
        <v>110</v>
      </c>
      <c r="H36">
        <v>5</v>
      </c>
      <c r="I36">
        <v>5</v>
      </c>
      <c r="J36">
        <v>0</v>
      </c>
      <c r="K36">
        <v>100</v>
      </c>
      <c r="L36">
        <v>0</v>
      </c>
      <c r="M36">
        <v>100</v>
      </c>
    </row>
    <row r="37" spans="1:13" x14ac:dyDescent="0.3">
      <c r="A37" t="s">
        <v>98</v>
      </c>
      <c r="B37" t="s">
        <v>102</v>
      </c>
      <c r="C37">
        <v>4</v>
      </c>
      <c r="D37" t="s">
        <v>14</v>
      </c>
      <c r="E37" t="s">
        <v>101</v>
      </c>
      <c r="F37">
        <v>2</v>
      </c>
      <c r="G37" t="s">
        <v>112</v>
      </c>
      <c r="H37">
        <v>5</v>
      </c>
      <c r="I37">
        <v>2</v>
      </c>
      <c r="J37">
        <v>3</v>
      </c>
      <c r="K37">
        <v>40</v>
      </c>
      <c r="L37">
        <v>60</v>
      </c>
      <c r="M37">
        <v>40</v>
      </c>
    </row>
    <row r="38" spans="1:13" x14ac:dyDescent="0.3">
      <c r="A38" t="s">
        <v>98</v>
      </c>
      <c r="B38" t="s">
        <v>103</v>
      </c>
      <c r="C38">
        <v>1</v>
      </c>
      <c r="D38" t="s">
        <v>11</v>
      </c>
      <c r="E38" t="s">
        <v>100</v>
      </c>
      <c r="F38">
        <v>3</v>
      </c>
      <c r="G38" t="s">
        <v>106</v>
      </c>
      <c r="H38">
        <v>5</v>
      </c>
      <c r="I38">
        <v>0</v>
      </c>
      <c r="J38">
        <v>5</v>
      </c>
      <c r="K38">
        <v>0</v>
      </c>
      <c r="L38">
        <v>100</v>
      </c>
      <c r="M38">
        <v>0</v>
      </c>
    </row>
    <row r="39" spans="1:13" x14ac:dyDescent="0.3">
      <c r="A39" t="s">
        <v>98</v>
      </c>
      <c r="B39" t="s">
        <v>103</v>
      </c>
      <c r="C39">
        <v>1</v>
      </c>
      <c r="D39" t="s">
        <v>12</v>
      </c>
      <c r="E39" t="s">
        <v>100</v>
      </c>
      <c r="F39">
        <v>3</v>
      </c>
      <c r="G39" t="s">
        <v>108</v>
      </c>
      <c r="H39">
        <v>5</v>
      </c>
      <c r="I39">
        <v>0</v>
      </c>
      <c r="J39">
        <v>5</v>
      </c>
      <c r="K39">
        <v>0</v>
      </c>
      <c r="L39">
        <v>100</v>
      </c>
      <c r="M39">
        <v>0</v>
      </c>
    </row>
    <row r="40" spans="1:13" x14ac:dyDescent="0.3">
      <c r="A40" t="s">
        <v>98</v>
      </c>
      <c r="B40" t="s">
        <v>103</v>
      </c>
      <c r="C40">
        <v>1</v>
      </c>
      <c r="D40" t="s">
        <v>13</v>
      </c>
      <c r="E40" t="s">
        <v>101</v>
      </c>
      <c r="F40">
        <v>3</v>
      </c>
      <c r="G40" t="s">
        <v>110</v>
      </c>
      <c r="H40">
        <v>5</v>
      </c>
      <c r="I40">
        <v>5</v>
      </c>
      <c r="J40">
        <v>0</v>
      </c>
      <c r="K40">
        <v>100</v>
      </c>
      <c r="L40">
        <v>0</v>
      </c>
      <c r="M40">
        <v>100</v>
      </c>
    </row>
    <row r="41" spans="1:13" x14ac:dyDescent="0.3">
      <c r="A41" t="s">
        <v>98</v>
      </c>
      <c r="B41" t="s">
        <v>103</v>
      </c>
      <c r="C41">
        <v>1</v>
      </c>
      <c r="D41" t="s">
        <v>14</v>
      </c>
      <c r="E41" t="s">
        <v>101</v>
      </c>
      <c r="F41">
        <v>2</v>
      </c>
      <c r="G41" t="s">
        <v>112</v>
      </c>
      <c r="H41">
        <v>5</v>
      </c>
      <c r="I41">
        <v>0</v>
      </c>
      <c r="J41">
        <v>5</v>
      </c>
      <c r="K41">
        <v>0</v>
      </c>
      <c r="L41">
        <v>100</v>
      </c>
      <c r="M41">
        <v>0</v>
      </c>
    </row>
    <row r="42" spans="1:13" x14ac:dyDescent="0.3">
      <c r="A42" t="s">
        <v>98</v>
      </c>
      <c r="B42" t="s">
        <v>103</v>
      </c>
      <c r="C42">
        <v>2</v>
      </c>
      <c r="D42" t="s">
        <v>11</v>
      </c>
      <c r="E42" t="s">
        <v>100</v>
      </c>
      <c r="F42">
        <v>3</v>
      </c>
      <c r="G42" t="s">
        <v>106</v>
      </c>
      <c r="H42">
        <v>5</v>
      </c>
      <c r="I42">
        <v>0</v>
      </c>
      <c r="J42">
        <v>5</v>
      </c>
      <c r="K42">
        <v>0</v>
      </c>
      <c r="L42">
        <v>100</v>
      </c>
      <c r="M42">
        <v>0</v>
      </c>
    </row>
    <row r="43" spans="1:13" x14ac:dyDescent="0.3">
      <c r="A43" t="s">
        <v>98</v>
      </c>
      <c r="B43" t="s">
        <v>103</v>
      </c>
      <c r="C43">
        <v>2</v>
      </c>
      <c r="D43" t="s">
        <v>12</v>
      </c>
      <c r="E43" t="s">
        <v>100</v>
      </c>
      <c r="F43">
        <v>3</v>
      </c>
      <c r="G43" t="s">
        <v>108</v>
      </c>
      <c r="H43">
        <v>5</v>
      </c>
      <c r="I43">
        <v>1</v>
      </c>
      <c r="J43">
        <v>4</v>
      </c>
      <c r="K43">
        <v>20</v>
      </c>
      <c r="L43">
        <v>80</v>
      </c>
      <c r="M43">
        <v>20</v>
      </c>
    </row>
    <row r="44" spans="1:13" x14ac:dyDescent="0.3">
      <c r="A44" t="s">
        <v>98</v>
      </c>
      <c r="B44" t="s">
        <v>103</v>
      </c>
      <c r="C44">
        <v>2</v>
      </c>
      <c r="D44" t="s">
        <v>13</v>
      </c>
      <c r="E44" t="s">
        <v>101</v>
      </c>
      <c r="F44">
        <v>3</v>
      </c>
      <c r="G44" t="s">
        <v>110</v>
      </c>
      <c r="H44">
        <v>5</v>
      </c>
      <c r="I44">
        <v>5</v>
      </c>
      <c r="J44">
        <v>0</v>
      </c>
      <c r="K44">
        <v>100</v>
      </c>
      <c r="L44">
        <v>0</v>
      </c>
      <c r="M44">
        <v>100</v>
      </c>
    </row>
    <row r="45" spans="1:13" x14ac:dyDescent="0.3">
      <c r="A45" t="s">
        <v>98</v>
      </c>
      <c r="B45" t="s">
        <v>103</v>
      </c>
      <c r="C45">
        <v>2</v>
      </c>
      <c r="D45" t="s">
        <v>14</v>
      </c>
      <c r="E45" t="s">
        <v>101</v>
      </c>
      <c r="F45">
        <v>2</v>
      </c>
      <c r="G45" t="s">
        <v>112</v>
      </c>
      <c r="H45">
        <v>5</v>
      </c>
      <c r="I45">
        <v>3</v>
      </c>
      <c r="J45">
        <v>2</v>
      </c>
      <c r="K45">
        <v>60</v>
      </c>
      <c r="L45">
        <v>40</v>
      </c>
      <c r="M45">
        <v>60</v>
      </c>
    </row>
    <row r="46" spans="1:13" x14ac:dyDescent="0.3">
      <c r="A46" t="s">
        <v>98</v>
      </c>
      <c r="B46" t="s">
        <v>103</v>
      </c>
      <c r="C46">
        <v>3</v>
      </c>
      <c r="D46" t="s">
        <v>11</v>
      </c>
      <c r="E46" t="s">
        <v>100</v>
      </c>
      <c r="F46">
        <v>3</v>
      </c>
      <c r="G46" t="s">
        <v>106</v>
      </c>
      <c r="H46">
        <v>5</v>
      </c>
      <c r="I46">
        <v>5</v>
      </c>
      <c r="J46">
        <v>0</v>
      </c>
      <c r="K46">
        <v>100</v>
      </c>
      <c r="L46">
        <v>0</v>
      </c>
      <c r="M46">
        <v>100</v>
      </c>
    </row>
    <row r="47" spans="1:13" x14ac:dyDescent="0.3">
      <c r="A47" t="s">
        <v>98</v>
      </c>
      <c r="B47" t="s">
        <v>103</v>
      </c>
      <c r="C47">
        <v>3</v>
      </c>
      <c r="D47" t="s">
        <v>12</v>
      </c>
      <c r="E47" t="s">
        <v>100</v>
      </c>
      <c r="F47">
        <v>3</v>
      </c>
      <c r="G47" t="s">
        <v>108</v>
      </c>
      <c r="H47">
        <v>5</v>
      </c>
      <c r="I47">
        <v>4</v>
      </c>
      <c r="J47">
        <v>1</v>
      </c>
      <c r="K47">
        <v>80</v>
      </c>
      <c r="L47">
        <v>20</v>
      </c>
      <c r="M47">
        <v>80</v>
      </c>
    </row>
    <row r="48" spans="1:13" x14ac:dyDescent="0.3">
      <c r="A48" t="s">
        <v>98</v>
      </c>
      <c r="B48" t="s">
        <v>103</v>
      </c>
      <c r="C48">
        <v>3</v>
      </c>
      <c r="D48" t="s">
        <v>13</v>
      </c>
      <c r="E48" t="s">
        <v>101</v>
      </c>
      <c r="F48">
        <v>3</v>
      </c>
      <c r="G48" t="s">
        <v>110</v>
      </c>
      <c r="H48">
        <v>5</v>
      </c>
      <c r="I48">
        <v>1</v>
      </c>
      <c r="J48">
        <v>4</v>
      </c>
      <c r="K48">
        <v>20</v>
      </c>
      <c r="L48">
        <v>80</v>
      </c>
      <c r="M48">
        <v>20</v>
      </c>
    </row>
    <row r="49" spans="1:13" x14ac:dyDescent="0.3">
      <c r="A49" t="s">
        <v>98</v>
      </c>
      <c r="B49" t="s">
        <v>103</v>
      </c>
      <c r="C49">
        <v>3</v>
      </c>
      <c r="D49" t="s">
        <v>14</v>
      </c>
      <c r="E49" t="s">
        <v>101</v>
      </c>
      <c r="F49">
        <v>2</v>
      </c>
      <c r="G49" t="s">
        <v>112</v>
      </c>
      <c r="H49">
        <v>5</v>
      </c>
      <c r="I49">
        <v>5</v>
      </c>
      <c r="J49">
        <v>0</v>
      </c>
      <c r="K49">
        <v>100</v>
      </c>
      <c r="L49">
        <v>0</v>
      </c>
      <c r="M49">
        <v>100</v>
      </c>
    </row>
    <row r="50" spans="1:13" x14ac:dyDescent="0.3">
      <c r="A50" t="s">
        <v>98</v>
      </c>
      <c r="B50" t="s">
        <v>103</v>
      </c>
      <c r="C50">
        <v>4</v>
      </c>
      <c r="D50" t="s">
        <v>11</v>
      </c>
      <c r="E50" t="s">
        <v>100</v>
      </c>
      <c r="F50">
        <v>3</v>
      </c>
      <c r="G50" t="s">
        <v>106</v>
      </c>
      <c r="H50">
        <v>5</v>
      </c>
      <c r="I50">
        <v>0</v>
      </c>
      <c r="J50">
        <v>5</v>
      </c>
      <c r="K50">
        <v>0</v>
      </c>
      <c r="L50">
        <v>100</v>
      </c>
      <c r="M50">
        <v>0</v>
      </c>
    </row>
    <row r="51" spans="1:13" x14ac:dyDescent="0.3">
      <c r="A51" t="s">
        <v>98</v>
      </c>
      <c r="B51" t="s">
        <v>103</v>
      </c>
      <c r="C51">
        <v>4</v>
      </c>
      <c r="D51" t="s">
        <v>12</v>
      </c>
      <c r="E51" t="s">
        <v>100</v>
      </c>
      <c r="F51">
        <v>3</v>
      </c>
      <c r="G51" t="s">
        <v>108</v>
      </c>
      <c r="H51">
        <v>5</v>
      </c>
      <c r="I51">
        <v>0</v>
      </c>
      <c r="J51">
        <v>5</v>
      </c>
      <c r="K51">
        <v>0</v>
      </c>
      <c r="L51">
        <v>100</v>
      </c>
      <c r="M51">
        <v>0</v>
      </c>
    </row>
    <row r="52" spans="1:13" x14ac:dyDescent="0.3">
      <c r="A52" t="s">
        <v>98</v>
      </c>
      <c r="B52" t="s">
        <v>103</v>
      </c>
      <c r="C52">
        <v>4</v>
      </c>
      <c r="D52" t="s">
        <v>13</v>
      </c>
      <c r="E52" t="s">
        <v>101</v>
      </c>
      <c r="F52">
        <v>3</v>
      </c>
      <c r="G52" t="s">
        <v>110</v>
      </c>
      <c r="H52">
        <v>5</v>
      </c>
      <c r="I52">
        <v>5</v>
      </c>
      <c r="J52">
        <v>0</v>
      </c>
      <c r="K52">
        <v>100</v>
      </c>
      <c r="L52">
        <v>0</v>
      </c>
      <c r="M52">
        <v>100</v>
      </c>
    </row>
    <row r="53" spans="1:13" x14ac:dyDescent="0.3">
      <c r="A53" t="s">
        <v>98</v>
      </c>
      <c r="B53" t="s">
        <v>103</v>
      </c>
      <c r="C53">
        <v>4</v>
      </c>
      <c r="D53" t="s">
        <v>14</v>
      </c>
      <c r="E53" t="s">
        <v>101</v>
      </c>
      <c r="F53">
        <v>2</v>
      </c>
      <c r="G53" t="s">
        <v>112</v>
      </c>
      <c r="H53">
        <v>5</v>
      </c>
      <c r="I53">
        <v>1</v>
      </c>
      <c r="J53">
        <v>4</v>
      </c>
      <c r="K53">
        <v>20</v>
      </c>
      <c r="L53">
        <v>80</v>
      </c>
      <c r="M53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0459C-A0D7-4C6F-9764-5B8D3A13B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resumo_qwen3_0 25</vt:lpstr>
      <vt:lpstr>Dados</vt:lpstr>
      <vt:lpstr>Folha13</vt:lpstr>
      <vt:lpstr>Folha12</vt:lpstr>
      <vt:lpstr>Folha11</vt:lpstr>
      <vt:lpstr>Folha10</vt:lpstr>
      <vt:lpstr>Folha9</vt:lpstr>
      <vt:lpstr>Folha8</vt:lpstr>
      <vt:lpstr>Folha7</vt:lpstr>
      <vt:lpstr>Folha6</vt:lpstr>
      <vt:lpstr>Folha3</vt:lpstr>
      <vt:lpstr>Folha4</vt:lpstr>
      <vt:lpstr>Folha5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2026-06-20T14:09:47Z</dcterms:created>
  <dcterms:modified xsi:type="dcterms:W3CDTF">2026-06-27T00:31:57Z</dcterms:modified>
</cp:coreProperties>
</file>